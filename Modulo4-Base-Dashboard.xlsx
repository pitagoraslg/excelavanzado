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  <sheet sheetId="2" name="Dashboard" state="visible" r:id="rId5"/>
  </sheets>
  <calcPr calcId="171027"/>
</workbook>
</file>

<file path=xl/sharedStrings.xml><?xml version="1.0" encoding="utf-8"?>
<sst xmlns="http://schemas.openxmlformats.org/spreadsheetml/2006/main" count="1826" uniqueCount="408">
  <si>
    <t>ID Servicio</t>
  </si>
  <si>
    <t>Fecha</t>
  </si>
  <si>
    <t>ARS</t>
  </si>
  <si>
    <t>PSS</t>
  </si>
  <si>
    <t>Tipo de Servicio</t>
  </si>
  <si>
    <t>Provincia</t>
  </si>
  <si>
    <t>Monto</t>
  </si>
  <si>
    <t>Año</t>
  </si>
  <si>
    <t>Mes</t>
  </si>
  <si>
    <t>SRV-1001</t>
  </si>
  <si>
    <t>ARS Humano</t>
  </si>
  <si>
    <t>Laboratorio Clínico Amigo</t>
  </si>
  <si>
    <t>Laboratorio</t>
  </si>
  <si>
    <t>Santo Domingo</t>
  </si>
  <si>
    <t>SRV-1002</t>
  </si>
  <si>
    <t>SeNaSa</t>
  </si>
  <si>
    <t>Hospital Regional Norte</t>
  </si>
  <si>
    <t>Hospitalización</t>
  </si>
  <si>
    <t>Distrito Nacional</t>
  </si>
  <si>
    <t>SRV-1003</t>
  </si>
  <si>
    <t>ARS Universal</t>
  </si>
  <si>
    <t>Centro Diagnóstico del Cibao</t>
  </si>
  <si>
    <t>Imágenes</t>
  </si>
  <si>
    <t>SRV-1004</t>
  </si>
  <si>
    <t>MAPFRE Salud ARS</t>
  </si>
  <si>
    <t>Centro Médico Las Américas</t>
  </si>
  <si>
    <t>Santiago</t>
  </si>
  <si>
    <t>SRV-1005</t>
  </si>
  <si>
    <t>Policlínica Central</t>
  </si>
  <si>
    <t>Consulta</t>
  </si>
  <si>
    <t>San Cristóbal</t>
  </si>
  <si>
    <t>SRV-1006</t>
  </si>
  <si>
    <t>SRV-1007</t>
  </si>
  <si>
    <t>Clínica San Rafael</t>
  </si>
  <si>
    <t>SRV-1008</t>
  </si>
  <si>
    <t>Emergencia</t>
  </si>
  <si>
    <t>SRV-1009</t>
  </si>
  <si>
    <t>SRV-1010</t>
  </si>
  <si>
    <t>SRV-1011</t>
  </si>
  <si>
    <t>Clínica Vista Mar</t>
  </si>
  <si>
    <t>SRV-1012</t>
  </si>
  <si>
    <t>SRV-1013</t>
  </si>
  <si>
    <t>SRV-1014</t>
  </si>
  <si>
    <t>SRV-1015</t>
  </si>
  <si>
    <t>SRV-1016</t>
  </si>
  <si>
    <t>Puerto Plata</t>
  </si>
  <si>
    <t>SRV-1017</t>
  </si>
  <si>
    <t>Primera ARS</t>
  </si>
  <si>
    <t>La Vega</t>
  </si>
  <si>
    <t>SRV-1018</t>
  </si>
  <si>
    <t>SRV-1019</t>
  </si>
  <si>
    <t>SRV-1020</t>
  </si>
  <si>
    <t>SRV-1021</t>
  </si>
  <si>
    <t>SRV-1022</t>
  </si>
  <si>
    <t>SRV-1023</t>
  </si>
  <si>
    <t>SRV-1024</t>
  </si>
  <si>
    <t>SRV-1025</t>
  </si>
  <si>
    <t>SRV-1026</t>
  </si>
  <si>
    <t>SRV-1027</t>
  </si>
  <si>
    <t>SRV-1028</t>
  </si>
  <si>
    <t>SRV-1029</t>
  </si>
  <si>
    <t>SRV-1030</t>
  </si>
  <si>
    <t>SRV-1031</t>
  </si>
  <si>
    <t>SRV-1032</t>
  </si>
  <si>
    <t>SRV-1033</t>
  </si>
  <si>
    <t>SRV-1034</t>
  </si>
  <si>
    <t>SRV-1035</t>
  </si>
  <si>
    <t>SRV-1036</t>
  </si>
  <si>
    <t>SRV-1037</t>
  </si>
  <si>
    <t>Centro Médico Nuestra Señora</t>
  </si>
  <si>
    <t>SRV-1038</t>
  </si>
  <si>
    <t>SRV-1039</t>
  </si>
  <si>
    <t>SRV-1040</t>
  </si>
  <si>
    <t>SRV-1041</t>
  </si>
  <si>
    <t>SRV-1042</t>
  </si>
  <si>
    <t>SRV-1043</t>
  </si>
  <si>
    <t>SRV-1044</t>
  </si>
  <si>
    <t>SRV-1045</t>
  </si>
  <si>
    <t>SRV-1046</t>
  </si>
  <si>
    <t>SRV-1047</t>
  </si>
  <si>
    <t>SRV-1048</t>
  </si>
  <si>
    <t>SRV-1049</t>
  </si>
  <si>
    <t>SRV-1050</t>
  </si>
  <si>
    <t>SRV-1051</t>
  </si>
  <si>
    <t>SRV-1052</t>
  </si>
  <si>
    <t>SRV-1053</t>
  </si>
  <si>
    <t>SRV-1054</t>
  </si>
  <si>
    <t>SRV-1055</t>
  </si>
  <si>
    <t>SRV-1056</t>
  </si>
  <si>
    <t>SRV-1057</t>
  </si>
  <si>
    <t>SRV-1058</t>
  </si>
  <si>
    <t>SRV-1059</t>
  </si>
  <si>
    <t>SRV-1060</t>
  </si>
  <si>
    <t>SRV-1061</t>
  </si>
  <si>
    <t>SRV-1062</t>
  </si>
  <si>
    <t>SRV-1063</t>
  </si>
  <si>
    <t>SRV-1064</t>
  </si>
  <si>
    <t>SRV-1065</t>
  </si>
  <si>
    <t>SRV-1066</t>
  </si>
  <si>
    <t>SRV-1067</t>
  </si>
  <si>
    <t>SRV-1068</t>
  </si>
  <si>
    <t>SRV-1069</t>
  </si>
  <si>
    <t>SRV-1070</t>
  </si>
  <si>
    <t>SRV-1071</t>
  </si>
  <si>
    <t>SRV-1072</t>
  </si>
  <si>
    <t>SRV-1073</t>
  </si>
  <si>
    <t>SRV-1074</t>
  </si>
  <si>
    <t>SRV-1075</t>
  </si>
  <si>
    <t>SRV-1076</t>
  </si>
  <si>
    <t>SRV-1077</t>
  </si>
  <si>
    <t>SRV-1078</t>
  </si>
  <si>
    <t>SRV-1079</t>
  </si>
  <si>
    <t>SRV-1080</t>
  </si>
  <si>
    <t>SRV-1081</t>
  </si>
  <si>
    <t>SRV-1082</t>
  </si>
  <si>
    <t>SRV-1083</t>
  </si>
  <si>
    <t>SRV-1084</t>
  </si>
  <si>
    <t>SRV-1085</t>
  </si>
  <si>
    <t>SRV-1086</t>
  </si>
  <si>
    <t>SRV-1087</t>
  </si>
  <si>
    <t>SRV-1088</t>
  </si>
  <si>
    <t>SRV-1089</t>
  </si>
  <si>
    <t>SRV-1090</t>
  </si>
  <si>
    <t>SRV-1091</t>
  </si>
  <si>
    <t>SRV-1092</t>
  </si>
  <si>
    <t>SRV-1093</t>
  </si>
  <si>
    <t>SRV-1094</t>
  </si>
  <si>
    <t>SRV-1095</t>
  </si>
  <si>
    <t>SRV-1096</t>
  </si>
  <si>
    <t>SRV-1097</t>
  </si>
  <si>
    <t>SRV-1098</t>
  </si>
  <si>
    <t>SRV-1099</t>
  </si>
  <si>
    <t>SRV-1100</t>
  </si>
  <si>
    <t>SRV-1101</t>
  </si>
  <si>
    <t>SRV-1102</t>
  </si>
  <si>
    <t>SRV-1103</t>
  </si>
  <si>
    <t>SRV-1104</t>
  </si>
  <si>
    <t>SRV-1105</t>
  </si>
  <si>
    <t>SRV-1106</t>
  </si>
  <si>
    <t>SRV-1107</t>
  </si>
  <si>
    <t>SRV-1108</t>
  </si>
  <si>
    <t>SRV-1109</t>
  </si>
  <si>
    <t>SRV-1110</t>
  </si>
  <si>
    <t>SRV-1111</t>
  </si>
  <si>
    <t>SRV-1112</t>
  </si>
  <si>
    <t>SRV-1113</t>
  </si>
  <si>
    <t>SRV-1114</t>
  </si>
  <si>
    <t>SRV-1115</t>
  </si>
  <si>
    <t>SRV-1116</t>
  </si>
  <si>
    <t>SRV-1117</t>
  </si>
  <si>
    <t>SRV-1118</t>
  </si>
  <si>
    <t>SRV-1119</t>
  </si>
  <si>
    <t>SRV-1120</t>
  </si>
  <si>
    <t>SRV-1121</t>
  </si>
  <si>
    <t>SRV-1122</t>
  </si>
  <si>
    <t>SRV-1123</t>
  </si>
  <si>
    <t>SRV-1124</t>
  </si>
  <si>
    <t>SRV-1125</t>
  </si>
  <si>
    <t>SRV-1126</t>
  </si>
  <si>
    <t>SRV-1127</t>
  </si>
  <si>
    <t>SRV-1128</t>
  </si>
  <si>
    <t>SRV-1129</t>
  </si>
  <si>
    <t>SRV-1130</t>
  </si>
  <si>
    <t>SRV-1131</t>
  </si>
  <si>
    <t>SRV-1132</t>
  </si>
  <si>
    <t>SRV-1133</t>
  </si>
  <si>
    <t>SRV-1134</t>
  </si>
  <si>
    <t>SRV-1135</t>
  </si>
  <si>
    <t>SRV-1136</t>
  </si>
  <si>
    <t>SRV-1137</t>
  </si>
  <si>
    <t>SRV-1138</t>
  </si>
  <si>
    <t>SRV-1139</t>
  </si>
  <si>
    <t>SRV-1140</t>
  </si>
  <si>
    <t>SRV-1141</t>
  </si>
  <si>
    <t>SRV-1142</t>
  </si>
  <si>
    <t>SRV-1143</t>
  </si>
  <si>
    <t>SRV-1144</t>
  </si>
  <si>
    <t>SRV-1145</t>
  </si>
  <si>
    <t>SRV-1146</t>
  </si>
  <si>
    <t>SRV-1147</t>
  </si>
  <si>
    <t>SRV-1148</t>
  </si>
  <si>
    <t>SRV-1149</t>
  </si>
  <si>
    <t>SRV-1150</t>
  </si>
  <si>
    <t>SRV-1151</t>
  </si>
  <si>
    <t>SRV-1152</t>
  </si>
  <si>
    <t>SRV-1153</t>
  </si>
  <si>
    <t>SRV-1154</t>
  </si>
  <si>
    <t>SRV-1155</t>
  </si>
  <si>
    <t>SRV-1156</t>
  </si>
  <si>
    <t>SRV-1157</t>
  </si>
  <si>
    <t>SRV-1158</t>
  </si>
  <si>
    <t>SRV-1159</t>
  </si>
  <si>
    <t>SRV-1160</t>
  </si>
  <si>
    <t>SRV-1161</t>
  </si>
  <si>
    <t>SRV-1162</t>
  </si>
  <si>
    <t>SRV-1163</t>
  </si>
  <si>
    <t>SRV-1164</t>
  </si>
  <si>
    <t>SRV-1165</t>
  </si>
  <si>
    <t>SRV-1166</t>
  </si>
  <si>
    <t>SRV-1167</t>
  </si>
  <si>
    <t>SRV-1168</t>
  </si>
  <si>
    <t>SRV-1169</t>
  </si>
  <si>
    <t>SRV-1170</t>
  </si>
  <si>
    <t>SRV-1171</t>
  </si>
  <si>
    <t>SRV-1172</t>
  </si>
  <si>
    <t>SRV-1173</t>
  </si>
  <si>
    <t>SRV-1174</t>
  </si>
  <si>
    <t>SRV-1175</t>
  </si>
  <si>
    <t>SRV-1176</t>
  </si>
  <si>
    <t>SRV-1177</t>
  </si>
  <si>
    <t>SRV-1178</t>
  </si>
  <si>
    <t>SRV-1179</t>
  </si>
  <si>
    <t>SRV-1180</t>
  </si>
  <si>
    <t>SRV-1181</t>
  </si>
  <si>
    <t>SRV-1182</t>
  </si>
  <si>
    <t>SRV-1183</t>
  </si>
  <si>
    <t>SRV-1184</t>
  </si>
  <si>
    <t>SRV-1185</t>
  </si>
  <si>
    <t>SRV-1186</t>
  </si>
  <si>
    <t>SRV-1187</t>
  </si>
  <si>
    <t>SRV-1188</t>
  </si>
  <si>
    <t>SRV-1189</t>
  </si>
  <si>
    <t>SRV-1190</t>
  </si>
  <si>
    <t>SRV-1191</t>
  </si>
  <si>
    <t>SRV-1192</t>
  </si>
  <si>
    <t>SRV-1193</t>
  </si>
  <si>
    <t>SRV-1194</t>
  </si>
  <si>
    <t>SRV-1195</t>
  </si>
  <si>
    <t>SRV-1196</t>
  </si>
  <si>
    <t>SRV-1197</t>
  </si>
  <si>
    <t>SRV-1198</t>
  </si>
  <si>
    <t>SRV-1199</t>
  </si>
  <si>
    <t>SRV-1200</t>
  </si>
  <si>
    <t>SRV-1201</t>
  </si>
  <si>
    <t>SRV-1202</t>
  </si>
  <si>
    <t>SRV-1203</t>
  </si>
  <si>
    <t>SRV-1204</t>
  </si>
  <si>
    <t>SRV-1205</t>
  </si>
  <si>
    <t>SRV-1206</t>
  </si>
  <si>
    <t>SRV-1207</t>
  </si>
  <si>
    <t>SRV-1208</t>
  </si>
  <si>
    <t>SRV-1209</t>
  </si>
  <si>
    <t>SRV-1210</t>
  </si>
  <si>
    <t>SRV-1211</t>
  </si>
  <si>
    <t>SRV-1212</t>
  </si>
  <si>
    <t>SRV-1213</t>
  </si>
  <si>
    <t>SRV-1214</t>
  </si>
  <si>
    <t>SRV-1215</t>
  </si>
  <si>
    <t>SRV-1216</t>
  </si>
  <si>
    <t>SRV-1217</t>
  </si>
  <si>
    <t>SRV-1218</t>
  </si>
  <si>
    <t>SRV-1219</t>
  </si>
  <si>
    <t>SRV-1220</t>
  </si>
  <si>
    <t>SRV-1221</t>
  </si>
  <si>
    <t>SRV-1222</t>
  </si>
  <si>
    <t>SRV-1223</t>
  </si>
  <si>
    <t>SRV-1224</t>
  </si>
  <si>
    <t>SRV-1225</t>
  </si>
  <si>
    <t>SRV-1226</t>
  </si>
  <si>
    <t>SRV-1227</t>
  </si>
  <si>
    <t>SRV-1228</t>
  </si>
  <si>
    <t>SRV-1229</t>
  </si>
  <si>
    <t>SRV-1230</t>
  </si>
  <si>
    <t>SRV-1231</t>
  </si>
  <si>
    <t>SRV-1232</t>
  </si>
  <si>
    <t>SRV-1233</t>
  </si>
  <si>
    <t>SRV-1234</t>
  </si>
  <si>
    <t>SRV-1235</t>
  </si>
  <si>
    <t>SRV-1236</t>
  </si>
  <si>
    <t>SRV-1237</t>
  </si>
  <si>
    <t>SRV-1238</t>
  </si>
  <si>
    <t>SRV-1239</t>
  </si>
  <si>
    <t>SRV-1240</t>
  </si>
  <si>
    <t>SRV-1241</t>
  </si>
  <si>
    <t>SRV-1242</t>
  </si>
  <si>
    <t>SRV-1243</t>
  </si>
  <si>
    <t>SRV-1244</t>
  </si>
  <si>
    <t>SRV-1245</t>
  </si>
  <si>
    <t>SRV-1246</t>
  </si>
  <si>
    <t>SRV-1247</t>
  </si>
  <si>
    <t>SRV-1248</t>
  </si>
  <si>
    <t>SRV-1249</t>
  </si>
  <si>
    <t>SRV-1250</t>
  </si>
  <si>
    <t>SRV-1251</t>
  </si>
  <si>
    <t>SRV-1252</t>
  </si>
  <si>
    <t>SRV-1253</t>
  </si>
  <si>
    <t>SRV-1254</t>
  </si>
  <si>
    <t>SRV-1255</t>
  </si>
  <si>
    <t>SRV-1256</t>
  </si>
  <si>
    <t>SRV-1257</t>
  </si>
  <si>
    <t>SRV-1258</t>
  </si>
  <si>
    <t>SRV-1259</t>
  </si>
  <si>
    <t>SRV-1260</t>
  </si>
  <si>
    <t>SRV-1261</t>
  </si>
  <si>
    <t>SRV-1262</t>
  </si>
  <si>
    <t>SRV-1263</t>
  </si>
  <si>
    <t>SRV-1264</t>
  </si>
  <si>
    <t>SRV-1265</t>
  </si>
  <si>
    <t>SRV-1266</t>
  </si>
  <si>
    <t>SRV-1267</t>
  </si>
  <si>
    <t>SRV-1268</t>
  </si>
  <si>
    <t>SRV-1269</t>
  </si>
  <si>
    <t>SRV-1270</t>
  </si>
  <si>
    <t>SRV-1271</t>
  </si>
  <si>
    <t>SRV-1272</t>
  </si>
  <si>
    <t>SRV-1273</t>
  </si>
  <si>
    <t>SRV-1274</t>
  </si>
  <si>
    <t>SRV-1275</t>
  </si>
  <si>
    <t>SRV-1276</t>
  </si>
  <si>
    <t>SRV-1277</t>
  </si>
  <si>
    <t>SRV-1278</t>
  </si>
  <si>
    <t>SRV-1279</t>
  </si>
  <si>
    <t>SRV-1280</t>
  </si>
  <si>
    <t>SRV-1281</t>
  </si>
  <si>
    <t>SRV-1282</t>
  </si>
  <si>
    <t>SRV-1283</t>
  </si>
  <si>
    <t>SRV-1284</t>
  </si>
  <si>
    <t>SRV-1285</t>
  </si>
  <si>
    <t>SRV-1286</t>
  </si>
  <si>
    <t>SRV-1287</t>
  </si>
  <si>
    <t>SRV-1288</t>
  </si>
  <si>
    <t>SRV-1289</t>
  </si>
  <si>
    <t>SRV-1290</t>
  </si>
  <si>
    <t>SRV-1291</t>
  </si>
  <si>
    <t>SRV-1292</t>
  </si>
  <si>
    <t>SRV-1293</t>
  </si>
  <si>
    <t>SRV-1294</t>
  </si>
  <si>
    <t>SRV-1295</t>
  </si>
  <si>
    <t>SRV-1296</t>
  </si>
  <si>
    <t>SRV-1297</t>
  </si>
  <si>
    <t>SRV-1298</t>
  </si>
  <si>
    <t>SRV-1299</t>
  </si>
  <si>
    <t>SRV-1300</t>
  </si>
  <si>
    <t>SRV-1301</t>
  </si>
  <si>
    <t>SRV-1302</t>
  </si>
  <si>
    <t>SRV-1303</t>
  </si>
  <si>
    <t>SRV-1304</t>
  </si>
  <si>
    <t>SRV-1305</t>
  </si>
  <si>
    <t>SRV-1306</t>
  </si>
  <si>
    <t>SRV-1307</t>
  </si>
  <si>
    <t>SRV-1308</t>
  </si>
  <si>
    <t>SRV-1309</t>
  </si>
  <si>
    <t>SRV-1310</t>
  </si>
  <si>
    <t>SRV-1311</t>
  </si>
  <si>
    <t>SRV-1312</t>
  </si>
  <si>
    <t>SRV-1313</t>
  </si>
  <si>
    <t>SRV-1314</t>
  </si>
  <si>
    <t>SRV-1315</t>
  </si>
  <si>
    <t>SRV-1316</t>
  </si>
  <si>
    <t>SRV-1317</t>
  </si>
  <si>
    <t>SRV-1318</t>
  </si>
  <si>
    <t>SRV-1319</t>
  </si>
  <si>
    <t>SRV-1320</t>
  </si>
  <si>
    <t>SRV-1321</t>
  </si>
  <si>
    <t>SRV-1322</t>
  </si>
  <si>
    <t>SRV-1323</t>
  </si>
  <si>
    <t>SRV-1324</t>
  </si>
  <si>
    <t>SRV-1325</t>
  </si>
  <si>
    <t>SRV-1326</t>
  </si>
  <si>
    <t>SRV-1327</t>
  </si>
  <si>
    <t>SRV-1328</t>
  </si>
  <si>
    <t>SRV-1329</t>
  </si>
  <si>
    <t>SRV-1330</t>
  </si>
  <si>
    <t>SRV-1331</t>
  </si>
  <si>
    <t>SRV-1332</t>
  </si>
  <si>
    <t>SRV-1333</t>
  </si>
  <si>
    <t>SRV-1334</t>
  </si>
  <si>
    <t>SRV-1335</t>
  </si>
  <si>
    <t>SRV-1336</t>
  </si>
  <si>
    <t>SRV-1337</t>
  </si>
  <si>
    <t>SRV-1338</t>
  </si>
  <si>
    <t>SRV-1339</t>
  </si>
  <si>
    <t>SRV-1340</t>
  </si>
  <si>
    <t>SRV-1341</t>
  </si>
  <si>
    <t>SRV-1342</t>
  </si>
  <si>
    <t>SRV-1343</t>
  </si>
  <si>
    <t>SRV-1344</t>
  </si>
  <si>
    <t>SRV-1345</t>
  </si>
  <si>
    <t>SRV-1346</t>
  </si>
  <si>
    <t>SRV-1347</t>
  </si>
  <si>
    <t>SRV-1348</t>
  </si>
  <si>
    <t>SRV-1349</t>
  </si>
  <si>
    <t>SRV-1350</t>
  </si>
  <si>
    <t>SRV-1351</t>
  </si>
  <si>
    <t>SRV-1352</t>
  </si>
  <si>
    <t>SRV-1353</t>
  </si>
  <si>
    <t>SRV-1354</t>
  </si>
  <si>
    <t>SRV-1355</t>
  </si>
  <si>
    <t>SRV-1356</t>
  </si>
  <si>
    <t>SRV-1357</t>
  </si>
  <si>
    <t>SRV-1358</t>
  </si>
  <si>
    <t>SRV-1359</t>
  </si>
  <si>
    <t>SRV-1360</t>
  </si>
  <si>
    <t>Tablero de servicios de salud · 2024–2025</t>
  </si>
  <si>
    <t>Fuente: tabla tblServicios (360 servicios, enero 2024 – diciembre 2025). Usa las segmentaciones de la derecha para filtrar todo el tablero.</t>
  </si>
  <si>
    <t>Servicios atendidos</t>
  </si>
  <si>
    <t>Monto total (RD$)</t>
  </si>
  <si>
    <t>Monto promedio por servicio (RD$)</t>
  </si>
  <si>
    <t xml:space="preserve">Segmentaciones
Pega aquí las segmentaciones de Año y Tipo de Servicio</t>
  </si>
  <si>
    <t/>
  </si>
  <si>
    <t>↑ En cada tarjeta escribe = y haz clic en el número de TD_KPI.</t>
  </si>
  <si>
    <t xml:space="preserve">Gráfico 1 · Servicios por mes, 2024 frente a 2025 (Líneas)
Pega aquí el gráfico de TD_Mes</t>
  </si>
  <si>
    <t xml:space="preserve">Gráfico 2 · Monto por ARS (Columnas)
Pega aquí el gráfico de TD_ARS</t>
  </si>
  <si>
    <t xml:space="preserve">Gráfico 3 · Servicios por provincia (Columnas)
Pega aquí el gráfico de TD_Prov</t>
  </si>
  <si>
    <t>Conclusiones para la dirección (dato + comparación + recomendación)</t>
  </si>
  <si>
    <t xml:space="preserve">1. </t>
  </si>
  <si>
    <t xml:space="preserve">2. </t>
  </si>
  <si>
    <t xml:space="preserve">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</si>
</sst>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RD$&quot; #,##0"/>
    <numFmt numFmtId="166" formatCode="&quot;RD$&quot; 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FF5C6677"/>
      <sz val="10"/>
      <name val="Calibri"/>
    </font>
    <font>
      <b/>
      <color rgb="FF13315C"/>
      <sz val="11"/>
      <name val="Calibri"/>
    </font>
    <font>
      <color rgb="FF5C6677"/>
      <sz val="12"/>
      <name val="Calibri"/>
    </font>
    <font>
      <b/>
      <color rgb="FF13315C"/>
      <sz val="28"/>
      <name val="Calibri"/>
    </font>
    <font>
      <i/>
      <color rgb="FF5C6677"/>
      <sz val="9"/>
      <name val="Calibri"/>
    </font>
    <font>
      <b/>
      <color rgb="FFFFFFFF"/>
      <sz val="12"/>
      <name val="Calibri"/>
    </font>
    <font>
      <color rgb="FF1F1A2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3315C"/>
      </patternFill>
    </fill>
    <fill>
      <patternFill patternType="solid">
        <fgColor rgb="FFFFFFFF"/>
      </patternFill>
    </fill>
    <fill>
      <patternFill patternType="solid">
        <fgColor rgb="FFEEF2F8"/>
      </patternFill>
    </fill>
    <fill>
      <patternFill patternType="solid">
        <fgColor rgb="FFE8F1FB"/>
      </patternFill>
    </fill>
  </fills>
  <borders count="3">
    <border>
      <left/>
      <right/>
      <top/>
      <bottom/>
      <diagonal/>
    </border>
    <border>
      <left/>
      <right style="thin">
        <color rgb="FFC9D1DD"/>
      </right>
      <top/>
      <bottom style="thin">
        <color rgb="FFC9D1DD"/>
      </bottom>
      <diagonal/>
    </border>
    <border>
      <left/>
      <right style="thin">
        <color rgb="FFC9D1DD"/>
      </right>
      <top style="thin">
        <color rgb="FFC9D1DD"/>
      </top>
      <bottom style="thin">
        <color rgb="FFC9D1DD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3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Servicios" displayName="tblServicios" ref="A1:I361" totalsRowShown="1" headerRowCount="1">
  <autoFilter ref="A1:I3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ID Servicio" totalsRowLabel="Total"/>
    <tableColumn id="2" name="Fecha" totalsRowFunction="none"/>
    <tableColumn id="3" name="ARS" totalsRowFunction="none"/>
    <tableColumn id="4" name="PSS" totalsRowFunction="none"/>
    <tableColumn id="5" name="Tipo de Servicio" totalsRowFunction="none"/>
    <tableColumn id="6" name="Provincia" totalsRowFunction="none"/>
    <tableColumn id="7" name="Monto" totalsRowFunction="none"/>
    <tableColumn id="8" name="Año" totalsRowFunction="none"/>
    <tableColumn id="9" name="Mes" totalsRowFunction="non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style="1" customWidth="1"/>
    <col min="3" max="3" width="19" customWidth="1"/>
    <col min="4" max="4" width="29" customWidth="1"/>
    <col min="5" max="5" width="17" customWidth="1"/>
    <col min="6" max="6" width="18" customWidth="1"/>
    <col min="7" max="7" width="13" style="2" customWidth="1"/>
    <col min="8" max="8" width="8" customWidth="1"/>
    <col min="9" max="9" width="7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45297</v>
      </c>
      <c r="C2" t="s">
        <v>10</v>
      </c>
      <c r="D2" t="s">
        <v>11</v>
      </c>
      <c r="E2" t="s">
        <v>12</v>
      </c>
      <c r="F2" t="s">
        <v>13</v>
      </c>
      <c r="G2" s="2">
        <v>4300</v>
      </c>
      <c r="H2">
        <f>YEAR(tblServicios[[#This Row],[Fecha]])</f>
        <v>2024</v>
      </c>
      <c r="I2">
        <f>MONTH(tblServicios[[#This Row],[Fecha]])</f>
        <v>1</v>
      </c>
    </row>
    <row r="3" spans="1:9" x14ac:dyDescent="0.25">
      <c r="A3" t="s">
        <v>14</v>
      </c>
      <c r="B3" s="1">
        <v>45297</v>
      </c>
      <c r="C3" t="s">
        <v>15</v>
      </c>
      <c r="D3" t="s">
        <v>16</v>
      </c>
      <c r="E3" t="s">
        <v>17</v>
      </c>
      <c r="F3" t="s">
        <v>18</v>
      </c>
      <c r="G3" s="2">
        <v>103100</v>
      </c>
      <c r="H3">
        <f>YEAR(tblServicios[[#This Row],[Fecha]])</f>
        <v>2024</v>
      </c>
      <c r="I3">
        <f>MONTH(tblServicios[[#This Row],[Fecha]])</f>
        <v>1</v>
      </c>
    </row>
    <row r="4" spans="1:9" x14ac:dyDescent="0.25">
      <c r="A4" t="s">
        <v>19</v>
      </c>
      <c r="B4" s="1">
        <v>45299</v>
      </c>
      <c r="C4" t="s">
        <v>20</v>
      </c>
      <c r="D4" t="s">
        <v>21</v>
      </c>
      <c r="E4" t="s">
        <v>22</v>
      </c>
      <c r="F4" t="s">
        <v>18</v>
      </c>
      <c r="G4" s="2">
        <v>14600</v>
      </c>
      <c r="H4">
        <f>YEAR(tblServicios[[#This Row],[Fecha]])</f>
        <v>2024</v>
      </c>
      <c r="I4">
        <f>MONTH(tblServicios[[#This Row],[Fecha]])</f>
        <v>1</v>
      </c>
    </row>
    <row r="5" spans="1:9" x14ac:dyDescent="0.25">
      <c r="A5" t="s">
        <v>23</v>
      </c>
      <c r="B5" s="1">
        <v>45300</v>
      </c>
      <c r="C5" t="s">
        <v>24</v>
      </c>
      <c r="D5" t="s">
        <v>25</v>
      </c>
      <c r="E5" t="s">
        <v>17</v>
      </c>
      <c r="F5" t="s">
        <v>26</v>
      </c>
      <c r="G5" s="2">
        <v>151600</v>
      </c>
      <c r="H5">
        <f>YEAR(tblServicios[[#This Row],[Fecha]])</f>
        <v>2024</v>
      </c>
      <c r="I5">
        <f>MONTH(tblServicios[[#This Row],[Fecha]])</f>
        <v>1</v>
      </c>
    </row>
    <row r="6" spans="1:9" x14ac:dyDescent="0.25">
      <c r="A6" t="s">
        <v>27</v>
      </c>
      <c r="B6" s="1">
        <v>45301</v>
      </c>
      <c r="C6" t="s">
        <v>10</v>
      </c>
      <c r="D6" t="s">
        <v>28</v>
      </c>
      <c r="E6" t="s">
        <v>29</v>
      </c>
      <c r="F6" t="s">
        <v>30</v>
      </c>
      <c r="G6" s="2">
        <v>2600</v>
      </c>
      <c r="H6">
        <f>YEAR(tblServicios[[#This Row],[Fecha]])</f>
        <v>2024</v>
      </c>
      <c r="I6">
        <f>MONTH(tblServicios[[#This Row],[Fecha]])</f>
        <v>1</v>
      </c>
    </row>
    <row r="7" spans="1:9" x14ac:dyDescent="0.25">
      <c r="A7" t="s">
        <v>31</v>
      </c>
      <c r="B7" s="1">
        <v>45310</v>
      </c>
      <c r="C7" t="s">
        <v>15</v>
      </c>
      <c r="D7" t="s">
        <v>28</v>
      </c>
      <c r="E7" t="s">
        <v>29</v>
      </c>
      <c r="F7" t="s">
        <v>13</v>
      </c>
      <c r="G7" s="2">
        <v>3000</v>
      </c>
      <c r="H7">
        <f>YEAR(tblServicios[[#This Row],[Fecha]])</f>
        <v>2024</v>
      </c>
      <c r="I7">
        <f>MONTH(tblServicios[[#This Row],[Fecha]])</f>
        <v>1</v>
      </c>
    </row>
    <row r="8" spans="1:9" x14ac:dyDescent="0.25">
      <c r="A8" t="s">
        <v>32</v>
      </c>
      <c r="B8" s="1">
        <v>45313</v>
      </c>
      <c r="C8" t="s">
        <v>20</v>
      </c>
      <c r="D8" t="s">
        <v>33</v>
      </c>
      <c r="E8" t="s">
        <v>22</v>
      </c>
      <c r="F8" t="s">
        <v>13</v>
      </c>
      <c r="G8" s="2">
        <v>6200</v>
      </c>
      <c r="H8">
        <f>YEAR(tblServicios[[#This Row],[Fecha]])</f>
        <v>2024</v>
      </c>
      <c r="I8">
        <f>MONTH(tblServicios[[#This Row],[Fecha]])</f>
        <v>1</v>
      </c>
    </row>
    <row r="9" spans="1:9" x14ac:dyDescent="0.25">
      <c r="A9" t="s">
        <v>34</v>
      </c>
      <c r="B9" s="1">
        <v>45314</v>
      </c>
      <c r="C9" t="s">
        <v>20</v>
      </c>
      <c r="D9" t="s">
        <v>25</v>
      </c>
      <c r="E9" t="s">
        <v>35</v>
      </c>
      <c r="F9" t="s">
        <v>13</v>
      </c>
      <c r="G9" s="2">
        <v>10350</v>
      </c>
      <c r="H9">
        <f>YEAR(tblServicios[[#This Row],[Fecha]])</f>
        <v>2024</v>
      </c>
      <c r="I9">
        <f>MONTH(tblServicios[[#This Row],[Fecha]])</f>
        <v>1</v>
      </c>
    </row>
    <row r="10" spans="1:9" x14ac:dyDescent="0.25">
      <c r="A10" t="s">
        <v>36</v>
      </c>
      <c r="B10" s="1">
        <v>45314</v>
      </c>
      <c r="C10" t="s">
        <v>15</v>
      </c>
      <c r="D10" t="s">
        <v>33</v>
      </c>
      <c r="E10" t="s">
        <v>29</v>
      </c>
      <c r="F10" t="s">
        <v>26</v>
      </c>
      <c r="G10" s="2">
        <v>2700</v>
      </c>
      <c r="H10">
        <f>YEAR(tblServicios[[#This Row],[Fecha]])</f>
        <v>2024</v>
      </c>
      <c r="I10">
        <f>MONTH(tblServicios[[#This Row],[Fecha]])</f>
        <v>1</v>
      </c>
    </row>
    <row r="11" spans="1:9" x14ac:dyDescent="0.25">
      <c r="A11" t="s">
        <v>37</v>
      </c>
      <c r="B11" s="1">
        <v>45316</v>
      </c>
      <c r="C11" t="s">
        <v>15</v>
      </c>
      <c r="D11" t="s">
        <v>33</v>
      </c>
      <c r="E11" t="s">
        <v>22</v>
      </c>
      <c r="F11" t="s">
        <v>18</v>
      </c>
      <c r="G11" s="2">
        <v>13200</v>
      </c>
      <c r="H11">
        <f>YEAR(tblServicios[[#This Row],[Fecha]])</f>
        <v>2024</v>
      </c>
      <c r="I11">
        <f>MONTH(tblServicios[[#This Row],[Fecha]])</f>
        <v>1</v>
      </c>
    </row>
    <row r="12" spans="1:9" x14ac:dyDescent="0.25">
      <c r="A12" t="s">
        <v>38</v>
      </c>
      <c r="B12" s="1">
        <v>45320</v>
      </c>
      <c r="C12" t="s">
        <v>10</v>
      </c>
      <c r="D12" t="s">
        <v>39</v>
      </c>
      <c r="E12" t="s">
        <v>35</v>
      </c>
      <c r="F12" t="s">
        <v>13</v>
      </c>
      <c r="G12" s="2">
        <v>11850</v>
      </c>
      <c r="H12">
        <f>YEAR(tblServicios[[#This Row],[Fecha]])</f>
        <v>2024</v>
      </c>
      <c r="I12">
        <f>MONTH(tblServicios[[#This Row],[Fecha]])</f>
        <v>1</v>
      </c>
    </row>
    <row r="13" spans="1:9" x14ac:dyDescent="0.25">
      <c r="A13" t="s">
        <v>40</v>
      </c>
      <c r="B13" s="1">
        <v>45324</v>
      </c>
      <c r="C13" t="s">
        <v>24</v>
      </c>
      <c r="D13" t="s">
        <v>21</v>
      </c>
      <c r="E13" t="s">
        <v>22</v>
      </c>
      <c r="F13" t="s">
        <v>30</v>
      </c>
      <c r="G13" s="2">
        <v>10250</v>
      </c>
      <c r="H13">
        <f>YEAR(tblServicios[[#This Row],[Fecha]])</f>
        <v>2024</v>
      </c>
      <c r="I13">
        <f>MONTH(tblServicios[[#This Row],[Fecha]])</f>
        <v>2</v>
      </c>
    </row>
    <row r="14" spans="1:9" x14ac:dyDescent="0.25">
      <c r="A14" t="s">
        <v>41</v>
      </c>
      <c r="B14" s="1">
        <v>45327</v>
      </c>
      <c r="C14" t="s">
        <v>24</v>
      </c>
      <c r="D14" t="s">
        <v>33</v>
      </c>
      <c r="E14" t="s">
        <v>29</v>
      </c>
      <c r="F14" t="s">
        <v>30</v>
      </c>
      <c r="G14" s="2">
        <v>2800</v>
      </c>
      <c r="H14">
        <f>YEAR(tblServicios[[#This Row],[Fecha]])</f>
        <v>2024</v>
      </c>
      <c r="I14">
        <f>MONTH(tblServicios[[#This Row],[Fecha]])</f>
        <v>2</v>
      </c>
    </row>
    <row r="15" spans="1:9" x14ac:dyDescent="0.25">
      <c r="A15" t="s">
        <v>42</v>
      </c>
      <c r="B15" s="1">
        <v>45328</v>
      </c>
      <c r="C15" t="s">
        <v>10</v>
      </c>
      <c r="D15" t="s">
        <v>11</v>
      </c>
      <c r="E15" t="s">
        <v>12</v>
      </c>
      <c r="F15" t="s">
        <v>26</v>
      </c>
      <c r="G15" s="2">
        <v>3900</v>
      </c>
      <c r="H15">
        <f>YEAR(tblServicios[[#This Row],[Fecha]])</f>
        <v>2024</v>
      </c>
      <c r="I15">
        <f>MONTH(tblServicios[[#This Row],[Fecha]])</f>
        <v>2</v>
      </c>
    </row>
    <row r="16" spans="1:9" x14ac:dyDescent="0.25">
      <c r="A16" t="s">
        <v>43</v>
      </c>
      <c r="B16" s="1">
        <v>45331</v>
      </c>
      <c r="C16" t="s">
        <v>20</v>
      </c>
      <c r="D16" t="s">
        <v>16</v>
      </c>
      <c r="E16" t="s">
        <v>17</v>
      </c>
      <c r="F16" t="s">
        <v>18</v>
      </c>
      <c r="G16" s="2">
        <v>155850</v>
      </c>
      <c r="H16">
        <f>YEAR(tblServicios[[#This Row],[Fecha]])</f>
        <v>2024</v>
      </c>
      <c r="I16">
        <f>MONTH(tblServicios[[#This Row],[Fecha]])</f>
        <v>2</v>
      </c>
    </row>
    <row r="17" spans="1:9" x14ac:dyDescent="0.25">
      <c r="A17" t="s">
        <v>44</v>
      </c>
      <c r="B17" s="1">
        <v>45332</v>
      </c>
      <c r="C17" t="s">
        <v>20</v>
      </c>
      <c r="D17" t="s">
        <v>21</v>
      </c>
      <c r="E17" t="s">
        <v>12</v>
      </c>
      <c r="F17" t="s">
        <v>45</v>
      </c>
      <c r="G17" s="2">
        <v>2350</v>
      </c>
      <c r="H17">
        <f>YEAR(tblServicios[[#This Row],[Fecha]])</f>
        <v>2024</v>
      </c>
      <c r="I17">
        <f>MONTH(tblServicios[[#This Row],[Fecha]])</f>
        <v>2</v>
      </c>
    </row>
    <row r="18" spans="1:9" x14ac:dyDescent="0.25">
      <c r="A18" t="s">
        <v>46</v>
      </c>
      <c r="B18" s="1">
        <v>45336</v>
      </c>
      <c r="C18" t="s">
        <v>47</v>
      </c>
      <c r="D18" t="s">
        <v>28</v>
      </c>
      <c r="E18" t="s">
        <v>29</v>
      </c>
      <c r="F18" t="s">
        <v>48</v>
      </c>
      <c r="G18" s="2">
        <v>3450</v>
      </c>
      <c r="H18">
        <f>YEAR(tblServicios[[#This Row],[Fecha]])</f>
        <v>2024</v>
      </c>
      <c r="I18">
        <f>MONTH(tblServicios[[#This Row],[Fecha]])</f>
        <v>2</v>
      </c>
    </row>
    <row r="19" spans="1:9" x14ac:dyDescent="0.25">
      <c r="A19" t="s">
        <v>49</v>
      </c>
      <c r="B19" s="1">
        <v>45340</v>
      </c>
      <c r="C19" t="s">
        <v>10</v>
      </c>
      <c r="D19" t="s">
        <v>39</v>
      </c>
      <c r="E19" t="s">
        <v>29</v>
      </c>
      <c r="F19" t="s">
        <v>18</v>
      </c>
      <c r="G19" s="2">
        <v>3300</v>
      </c>
      <c r="H19">
        <f>YEAR(tblServicios[[#This Row],[Fecha]])</f>
        <v>2024</v>
      </c>
      <c r="I19">
        <f>MONTH(tblServicios[[#This Row],[Fecha]])</f>
        <v>2</v>
      </c>
    </row>
    <row r="20" spans="1:9" x14ac:dyDescent="0.25">
      <c r="A20" t="s">
        <v>50</v>
      </c>
      <c r="B20" s="1">
        <v>45340</v>
      </c>
      <c r="C20" t="s">
        <v>10</v>
      </c>
      <c r="D20" t="s">
        <v>16</v>
      </c>
      <c r="E20" t="s">
        <v>17</v>
      </c>
      <c r="F20" t="s">
        <v>18</v>
      </c>
      <c r="G20" s="2">
        <v>114850</v>
      </c>
      <c r="H20">
        <f>YEAR(tblServicios[[#This Row],[Fecha]])</f>
        <v>2024</v>
      </c>
      <c r="I20">
        <f>MONTH(tblServicios[[#This Row],[Fecha]])</f>
        <v>2</v>
      </c>
    </row>
    <row r="21" spans="1:9" x14ac:dyDescent="0.25">
      <c r="A21" t="s">
        <v>51</v>
      </c>
      <c r="B21" s="1">
        <v>45343</v>
      </c>
      <c r="C21" t="s">
        <v>24</v>
      </c>
      <c r="D21" t="s">
        <v>21</v>
      </c>
      <c r="E21" t="s">
        <v>22</v>
      </c>
      <c r="F21" t="s">
        <v>26</v>
      </c>
      <c r="G21" s="2">
        <v>14250</v>
      </c>
      <c r="H21">
        <f>YEAR(tblServicios[[#This Row],[Fecha]])</f>
        <v>2024</v>
      </c>
      <c r="I21">
        <f>MONTH(tblServicios[[#This Row],[Fecha]])</f>
        <v>2</v>
      </c>
    </row>
    <row r="22" spans="1:9" x14ac:dyDescent="0.25">
      <c r="A22" t="s">
        <v>52</v>
      </c>
      <c r="B22" s="1">
        <v>45355</v>
      </c>
      <c r="C22" t="s">
        <v>20</v>
      </c>
      <c r="D22" t="s">
        <v>25</v>
      </c>
      <c r="E22" t="s">
        <v>17</v>
      </c>
      <c r="F22" t="s">
        <v>18</v>
      </c>
      <c r="G22" s="2">
        <v>105100</v>
      </c>
      <c r="H22">
        <f>YEAR(tblServicios[[#This Row],[Fecha]])</f>
        <v>2024</v>
      </c>
      <c r="I22">
        <f>MONTH(tblServicios[[#This Row],[Fecha]])</f>
        <v>3</v>
      </c>
    </row>
    <row r="23" spans="1:9" x14ac:dyDescent="0.25">
      <c r="A23" t="s">
        <v>53</v>
      </c>
      <c r="B23" s="1">
        <v>45357</v>
      </c>
      <c r="C23" t="s">
        <v>20</v>
      </c>
      <c r="D23" t="s">
        <v>11</v>
      </c>
      <c r="E23" t="s">
        <v>12</v>
      </c>
      <c r="F23" t="s">
        <v>45</v>
      </c>
      <c r="G23" s="2">
        <v>5300</v>
      </c>
      <c r="H23">
        <f>YEAR(tblServicios[[#This Row],[Fecha]])</f>
        <v>2024</v>
      </c>
      <c r="I23">
        <f>MONTH(tblServicios[[#This Row],[Fecha]])</f>
        <v>3</v>
      </c>
    </row>
    <row r="24" spans="1:9" x14ac:dyDescent="0.25">
      <c r="A24" t="s">
        <v>54</v>
      </c>
      <c r="B24" s="1">
        <v>45359</v>
      </c>
      <c r="C24" t="s">
        <v>24</v>
      </c>
      <c r="D24" t="s">
        <v>25</v>
      </c>
      <c r="E24" t="s">
        <v>17</v>
      </c>
      <c r="F24" t="s">
        <v>45</v>
      </c>
      <c r="G24" s="2">
        <v>95600</v>
      </c>
      <c r="H24">
        <f>YEAR(tblServicios[[#This Row],[Fecha]])</f>
        <v>2024</v>
      </c>
      <c r="I24">
        <f>MONTH(tblServicios[[#This Row],[Fecha]])</f>
        <v>3</v>
      </c>
    </row>
    <row r="25" spans="1:9" x14ac:dyDescent="0.25">
      <c r="A25" t="s">
        <v>55</v>
      </c>
      <c r="B25" s="1">
        <v>45359</v>
      </c>
      <c r="C25" t="s">
        <v>24</v>
      </c>
      <c r="D25" t="s">
        <v>21</v>
      </c>
      <c r="E25" t="s">
        <v>22</v>
      </c>
      <c r="F25" t="s">
        <v>48</v>
      </c>
      <c r="G25" s="2">
        <v>10050</v>
      </c>
      <c r="H25">
        <f>YEAR(tblServicios[[#This Row],[Fecha]])</f>
        <v>2024</v>
      </c>
      <c r="I25">
        <f>MONTH(tblServicios[[#This Row],[Fecha]])</f>
        <v>3</v>
      </c>
    </row>
    <row r="26" spans="1:9" x14ac:dyDescent="0.25">
      <c r="A26" t="s">
        <v>56</v>
      </c>
      <c r="B26" s="1">
        <v>45361</v>
      </c>
      <c r="C26" t="s">
        <v>15</v>
      </c>
      <c r="D26" t="s">
        <v>11</v>
      </c>
      <c r="E26" t="s">
        <v>12</v>
      </c>
      <c r="F26" t="s">
        <v>26</v>
      </c>
      <c r="G26" s="2">
        <v>4050</v>
      </c>
      <c r="H26">
        <f>YEAR(tblServicios[[#This Row],[Fecha]])</f>
        <v>2024</v>
      </c>
      <c r="I26">
        <f>MONTH(tblServicios[[#This Row],[Fecha]])</f>
        <v>3</v>
      </c>
    </row>
    <row r="27" spans="1:9" x14ac:dyDescent="0.25">
      <c r="A27" t="s">
        <v>57</v>
      </c>
      <c r="B27" s="1">
        <v>45374</v>
      </c>
      <c r="C27" t="s">
        <v>15</v>
      </c>
      <c r="D27" t="s">
        <v>16</v>
      </c>
      <c r="E27" t="s">
        <v>17</v>
      </c>
      <c r="F27" t="s">
        <v>30</v>
      </c>
      <c r="G27" s="2">
        <v>96400</v>
      </c>
      <c r="H27">
        <f>YEAR(tblServicios[[#This Row],[Fecha]])</f>
        <v>2024</v>
      </c>
      <c r="I27">
        <f>MONTH(tblServicios[[#This Row],[Fecha]])</f>
        <v>3</v>
      </c>
    </row>
    <row r="28" spans="1:9" x14ac:dyDescent="0.25">
      <c r="A28" t="s">
        <v>58</v>
      </c>
      <c r="B28" s="1">
        <v>45376</v>
      </c>
      <c r="C28" t="s">
        <v>20</v>
      </c>
      <c r="D28" t="s">
        <v>28</v>
      </c>
      <c r="E28" t="s">
        <v>29</v>
      </c>
      <c r="F28" t="s">
        <v>30</v>
      </c>
      <c r="G28" s="2">
        <v>2050</v>
      </c>
      <c r="H28">
        <f>YEAR(tblServicios[[#This Row],[Fecha]])</f>
        <v>2024</v>
      </c>
      <c r="I28">
        <f>MONTH(tblServicios[[#This Row],[Fecha]])</f>
        <v>3</v>
      </c>
    </row>
    <row r="29" spans="1:9" x14ac:dyDescent="0.25">
      <c r="A29" t="s">
        <v>59</v>
      </c>
      <c r="B29" s="1">
        <v>45376</v>
      </c>
      <c r="C29" t="s">
        <v>10</v>
      </c>
      <c r="D29" t="s">
        <v>11</v>
      </c>
      <c r="E29" t="s">
        <v>12</v>
      </c>
      <c r="F29" t="s">
        <v>26</v>
      </c>
      <c r="G29" s="2">
        <v>1950</v>
      </c>
      <c r="H29">
        <f>YEAR(tblServicios[[#This Row],[Fecha]])</f>
        <v>2024</v>
      </c>
      <c r="I29">
        <f>MONTH(tblServicios[[#This Row],[Fecha]])</f>
        <v>3</v>
      </c>
    </row>
    <row r="30" spans="1:9" x14ac:dyDescent="0.25">
      <c r="A30" t="s">
        <v>60</v>
      </c>
      <c r="B30" s="1">
        <v>45378</v>
      </c>
      <c r="C30" t="s">
        <v>15</v>
      </c>
      <c r="D30" t="s">
        <v>25</v>
      </c>
      <c r="E30" t="s">
        <v>35</v>
      </c>
      <c r="F30" t="s">
        <v>13</v>
      </c>
      <c r="G30" s="2">
        <v>5450</v>
      </c>
      <c r="H30">
        <f>YEAR(tblServicios[[#This Row],[Fecha]])</f>
        <v>2024</v>
      </c>
      <c r="I30">
        <f>MONTH(tblServicios[[#This Row],[Fecha]])</f>
        <v>3</v>
      </c>
    </row>
    <row r="31" spans="1:9" x14ac:dyDescent="0.25">
      <c r="A31" t="s">
        <v>61</v>
      </c>
      <c r="B31" s="1">
        <v>45380</v>
      </c>
      <c r="C31" t="s">
        <v>20</v>
      </c>
      <c r="D31" t="s">
        <v>11</v>
      </c>
      <c r="E31" t="s">
        <v>12</v>
      </c>
      <c r="F31" t="s">
        <v>13</v>
      </c>
      <c r="G31" s="2">
        <v>2050</v>
      </c>
      <c r="H31">
        <f>YEAR(tblServicios[[#This Row],[Fecha]])</f>
        <v>2024</v>
      </c>
      <c r="I31">
        <f>MONTH(tblServicios[[#This Row],[Fecha]])</f>
        <v>3</v>
      </c>
    </row>
    <row r="32" spans="1:9" x14ac:dyDescent="0.25">
      <c r="A32" t="s">
        <v>62</v>
      </c>
      <c r="B32" s="1">
        <v>45381</v>
      </c>
      <c r="C32" t="s">
        <v>10</v>
      </c>
      <c r="D32" t="s">
        <v>21</v>
      </c>
      <c r="E32" t="s">
        <v>22</v>
      </c>
      <c r="F32" t="s">
        <v>18</v>
      </c>
      <c r="G32" s="2">
        <v>9250</v>
      </c>
      <c r="H32">
        <f>YEAR(tblServicios[[#This Row],[Fecha]])</f>
        <v>2024</v>
      </c>
      <c r="I32">
        <f>MONTH(tblServicios[[#This Row],[Fecha]])</f>
        <v>3</v>
      </c>
    </row>
    <row r="33" spans="1:9" x14ac:dyDescent="0.25">
      <c r="A33" t="s">
        <v>63</v>
      </c>
      <c r="B33" s="1">
        <v>45381</v>
      </c>
      <c r="C33" t="s">
        <v>15</v>
      </c>
      <c r="D33" t="s">
        <v>11</v>
      </c>
      <c r="E33" t="s">
        <v>12</v>
      </c>
      <c r="F33" t="s">
        <v>13</v>
      </c>
      <c r="G33" s="2">
        <v>5100</v>
      </c>
      <c r="H33">
        <f>YEAR(tblServicios[[#This Row],[Fecha]])</f>
        <v>2024</v>
      </c>
      <c r="I33">
        <f>MONTH(tblServicios[[#This Row],[Fecha]])</f>
        <v>3</v>
      </c>
    </row>
    <row r="34" spans="1:9" x14ac:dyDescent="0.25">
      <c r="A34" t="s">
        <v>64</v>
      </c>
      <c r="B34" s="1">
        <v>45383</v>
      </c>
      <c r="C34" t="s">
        <v>24</v>
      </c>
      <c r="D34" t="s">
        <v>21</v>
      </c>
      <c r="E34" t="s">
        <v>22</v>
      </c>
      <c r="F34" t="s">
        <v>26</v>
      </c>
      <c r="G34" s="2">
        <v>14150</v>
      </c>
      <c r="H34">
        <f>YEAR(tblServicios[[#This Row],[Fecha]])</f>
        <v>2024</v>
      </c>
      <c r="I34">
        <f>MONTH(tblServicios[[#This Row],[Fecha]])</f>
        <v>4</v>
      </c>
    </row>
    <row r="35" spans="1:9" x14ac:dyDescent="0.25">
      <c r="A35" t="s">
        <v>65</v>
      </c>
      <c r="B35" s="1">
        <v>45386</v>
      </c>
      <c r="C35" t="s">
        <v>10</v>
      </c>
      <c r="D35" t="s">
        <v>11</v>
      </c>
      <c r="E35" t="s">
        <v>12</v>
      </c>
      <c r="F35" t="s">
        <v>26</v>
      </c>
      <c r="G35" s="2">
        <v>2100</v>
      </c>
      <c r="H35">
        <f>YEAR(tblServicios[[#This Row],[Fecha]])</f>
        <v>2024</v>
      </c>
      <c r="I35">
        <f>MONTH(tblServicios[[#This Row],[Fecha]])</f>
        <v>4</v>
      </c>
    </row>
    <row r="36" spans="1:9" x14ac:dyDescent="0.25">
      <c r="A36" t="s">
        <v>66</v>
      </c>
      <c r="B36" s="1">
        <v>45387</v>
      </c>
      <c r="C36" t="s">
        <v>10</v>
      </c>
      <c r="D36" t="s">
        <v>33</v>
      </c>
      <c r="E36" t="s">
        <v>22</v>
      </c>
      <c r="F36" t="s">
        <v>18</v>
      </c>
      <c r="G36" s="2">
        <v>14900</v>
      </c>
      <c r="H36">
        <f>YEAR(tblServicios[[#This Row],[Fecha]])</f>
        <v>2024</v>
      </c>
      <c r="I36">
        <f>MONTH(tblServicios[[#This Row],[Fecha]])</f>
        <v>4</v>
      </c>
    </row>
    <row r="37" spans="1:9" x14ac:dyDescent="0.25">
      <c r="A37" t="s">
        <v>67</v>
      </c>
      <c r="B37" s="1">
        <v>45387</v>
      </c>
      <c r="C37" t="s">
        <v>15</v>
      </c>
      <c r="D37" t="s">
        <v>33</v>
      </c>
      <c r="E37" t="s">
        <v>29</v>
      </c>
      <c r="F37" t="s">
        <v>48</v>
      </c>
      <c r="G37" s="2">
        <v>3300</v>
      </c>
      <c r="H37">
        <f>YEAR(tblServicios[[#This Row],[Fecha]])</f>
        <v>2024</v>
      </c>
      <c r="I37">
        <f>MONTH(tblServicios[[#This Row],[Fecha]])</f>
        <v>4</v>
      </c>
    </row>
    <row r="38" spans="1:9" x14ac:dyDescent="0.25">
      <c r="A38" t="s">
        <v>68</v>
      </c>
      <c r="B38" s="1">
        <v>45387</v>
      </c>
      <c r="C38" t="s">
        <v>15</v>
      </c>
      <c r="D38" t="s">
        <v>69</v>
      </c>
      <c r="E38" t="s">
        <v>29</v>
      </c>
      <c r="F38" t="s">
        <v>18</v>
      </c>
      <c r="G38" s="2">
        <v>1650</v>
      </c>
      <c r="H38">
        <f>YEAR(tblServicios[[#This Row],[Fecha]])</f>
        <v>2024</v>
      </c>
      <c r="I38">
        <f>MONTH(tblServicios[[#This Row],[Fecha]])</f>
        <v>4</v>
      </c>
    </row>
    <row r="39" spans="1:9" x14ac:dyDescent="0.25">
      <c r="A39" t="s">
        <v>70</v>
      </c>
      <c r="B39" s="1">
        <v>45389</v>
      </c>
      <c r="C39" t="s">
        <v>10</v>
      </c>
      <c r="D39" t="s">
        <v>21</v>
      </c>
      <c r="E39" t="s">
        <v>22</v>
      </c>
      <c r="F39" t="s">
        <v>18</v>
      </c>
      <c r="G39" s="2">
        <v>6150</v>
      </c>
      <c r="H39">
        <f>YEAR(tblServicios[[#This Row],[Fecha]])</f>
        <v>2024</v>
      </c>
      <c r="I39">
        <f>MONTH(tblServicios[[#This Row],[Fecha]])</f>
        <v>4</v>
      </c>
    </row>
    <row r="40" spans="1:9" x14ac:dyDescent="0.25">
      <c r="A40" t="s">
        <v>71</v>
      </c>
      <c r="B40" s="1">
        <v>45393</v>
      </c>
      <c r="C40" t="s">
        <v>15</v>
      </c>
      <c r="D40" t="s">
        <v>25</v>
      </c>
      <c r="E40" t="s">
        <v>17</v>
      </c>
      <c r="F40" t="s">
        <v>48</v>
      </c>
      <c r="G40" s="2">
        <v>54050</v>
      </c>
      <c r="H40">
        <f>YEAR(tblServicios[[#This Row],[Fecha]])</f>
        <v>2024</v>
      </c>
      <c r="I40">
        <f>MONTH(tblServicios[[#This Row],[Fecha]])</f>
        <v>4</v>
      </c>
    </row>
    <row r="41" spans="1:9" x14ac:dyDescent="0.25">
      <c r="A41" t="s">
        <v>72</v>
      </c>
      <c r="B41" s="1">
        <v>45398</v>
      </c>
      <c r="C41" t="s">
        <v>24</v>
      </c>
      <c r="D41" t="s">
        <v>28</v>
      </c>
      <c r="E41" t="s">
        <v>29</v>
      </c>
      <c r="F41" t="s">
        <v>13</v>
      </c>
      <c r="G41" s="2">
        <v>3100</v>
      </c>
      <c r="H41">
        <f>YEAR(tblServicios[[#This Row],[Fecha]])</f>
        <v>2024</v>
      </c>
      <c r="I41">
        <f>MONTH(tblServicios[[#This Row],[Fecha]])</f>
        <v>4</v>
      </c>
    </row>
    <row r="42" spans="1:9" x14ac:dyDescent="0.25">
      <c r="A42" t="s">
        <v>73</v>
      </c>
      <c r="B42" s="1">
        <v>45401</v>
      </c>
      <c r="C42" t="s">
        <v>15</v>
      </c>
      <c r="D42" t="s">
        <v>11</v>
      </c>
      <c r="E42" t="s">
        <v>12</v>
      </c>
      <c r="F42" t="s">
        <v>48</v>
      </c>
      <c r="G42" s="2">
        <v>4150</v>
      </c>
      <c r="H42">
        <f>YEAR(tblServicios[[#This Row],[Fecha]])</f>
        <v>2024</v>
      </c>
      <c r="I42">
        <f>MONTH(tblServicios[[#This Row],[Fecha]])</f>
        <v>4</v>
      </c>
    </row>
    <row r="43" spans="1:9" x14ac:dyDescent="0.25">
      <c r="A43" t="s">
        <v>74</v>
      </c>
      <c r="B43" s="1">
        <v>45401</v>
      </c>
      <c r="C43" t="s">
        <v>15</v>
      </c>
      <c r="D43" t="s">
        <v>39</v>
      </c>
      <c r="E43" t="s">
        <v>35</v>
      </c>
      <c r="F43" t="s">
        <v>18</v>
      </c>
      <c r="G43" s="2">
        <v>17150</v>
      </c>
      <c r="H43">
        <f>YEAR(tblServicios[[#This Row],[Fecha]])</f>
        <v>2024</v>
      </c>
      <c r="I43">
        <f>MONTH(tblServicios[[#This Row],[Fecha]])</f>
        <v>4</v>
      </c>
    </row>
    <row r="44" spans="1:9" x14ac:dyDescent="0.25">
      <c r="A44" t="s">
        <v>75</v>
      </c>
      <c r="B44" s="1">
        <v>45405</v>
      </c>
      <c r="C44" t="s">
        <v>15</v>
      </c>
      <c r="D44" t="s">
        <v>39</v>
      </c>
      <c r="E44" t="s">
        <v>29</v>
      </c>
      <c r="F44" t="s">
        <v>18</v>
      </c>
      <c r="G44" s="2">
        <v>1850</v>
      </c>
      <c r="H44">
        <f>YEAR(tblServicios[[#This Row],[Fecha]])</f>
        <v>2024</v>
      </c>
      <c r="I44">
        <f>MONTH(tblServicios[[#This Row],[Fecha]])</f>
        <v>4</v>
      </c>
    </row>
    <row r="45" spans="1:9" x14ac:dyDescent="0.25">
      <c r="A45" t="s">
        <v>76</v>
      </c>
      <c r="B45" s="1">
        <v>45410</v>
      </c>
      <c r="C45" t="s">
        <v>15</v>
      </c>
      <c r="D45" t="s">
        <v>39</v>
      </c>
      <c r="E45" t="s">
        <v>29</v>
      </c>
      <c r="F45" t="s">
        <v>18</v>
      </c>
      <c r="G45" s="2">
        <v>1100</v>
      </c>
      <c r="H45">
        <f>YEAR(tblServicios[[#This Row],[Fecha]])</f>
        <v>2024</v>
      </c>
      <c r="I45">
        <f>MONTH(tblServicios[[#This Row],[Fecha]])</f>
        <v>4</v>
      </c>
    </row>
    <row r="46" spans="1:9" x14ac:dyDescent="0.25">
      <c r="A46" t="s">
        <v>77</v>
      </c>
      <c r="B46" s="1">
        <v>45416</v>
      </c>
      <c r="C46" t="s">
        <v>10</v>
      </c>
      <c r="D46" t="s">
        <v>16</v>
      </c>
      <c r="E46" t="s">
        <v>17</v>
      </c>
      <c r="F46" t="s">
        <v>18</v>
      </c>
      <c r="G46" s="2">
        <v>128850</v>
      </c>
      <c r="H46">
        <f>YEAR(tblServicios[[#This Row],[Fecha]])</f>
        <v>2024</v>
      </c>
      <c r="I46">
        <f>MONTH(tblServicios[[#This Row],[Fecha]])</f>
        <v>5</v>
      </c>
    </row>
    <row r="47" spans="1:9" x14ac:dyDescent="0.25">
      <c r="A47" t="s">
        <v>78</v>
      </c>
      <c r="B47" s="1">
        <v>45417</v>
      </c>
      <c r="C47" t="s">
        <v>15</v>
      </c>
      <c r="D47" t="s">
        <v>28</v>
      </c>
      <c r="E47" t="s">
        <v>29</v>
      </c>
      <c r="F47" t="s">
        <v>13</v>
      </c>
      <c r="G47" s="2">
        <v>1550</v>
      </c>
      <c r="H47">
        <f>YEAR(tblServicios[[#This Row],[Fecha]])</f>
        <v>2024</v>
      </c>
      <c r="I47">
        <f>MONTH(tblServicios[[#This Row],[Fecha]])</f>
        <v>5</v>
      </c>
    </row>
    <row r="48" spans="1:9" x14ac:dyDescent="0.25">
      <c r="A48" t="s">
        <v>79</v>
      </c>
      <c r="B48" s="1">
        <v>45418</v>
      </c>
      <c r="C48" t="s">
        <v>24</v>
      </c>
      <c r="D48" t="s">
        <v>25</v>
      </c>
      <c r="E48" t="s">
        <v>35</v>
      </c>
      <c r="F48" t="s">
        <v>18</v>
      </c>
      <c r="G48" s="2">
        <v>8200</v>
      </c>
      <c r="H48">
        <f>YEAR(tblServicios[[#This Row],[Fecha]])</f>
        <v>2024</v>
      </c>
      <c r="I48">
        <f>MONTH(tblServicios[[#This Row],[Fecha]])</f>
        <v>5</v>
      </c>
    </row>
    <row r="49" spans="1:9" x14ac:dyDescent="0.25">
      <c r="A49" t="s">
        <v>80</v>
      </c>
      <c r="B49" s="1">
        <v>45420</v>
      </c>
      <c r="C49" t="s">
        <v>24</v>
      </c>
      <c r="D49" t="s">
        <v>25</v>
      </c>
      <c r="E49" t="s">
        <v>17</v>
      </c>
      <c r="F49" t="s">
        <v>18</v>
      </c>
      <c r="G49" s="2">
        <v>92550</v>
      </c>
      <c r="H49">
        <f>YEAR(tblServicios[[#This Row],[Fecha]])</f>
        <v>2024</v>
      </c>
      <c r="I49">
        <f>MONTH(tblServicios[[#This Row],[Fecha]])</f>
        <v>5</v>
      </c>
    </row>
    <row r="50" spans="1:9" x14ac:dyDescent="0.25">
      <c r="A50" t="s">
        <v>81</v>
      </c>
      <c r="B50" s="1">
        <v>45421</v>
      </c>
      <c r="C50" t="s">
        <v>24</v>
      </c>
      <c r="D50" t="s">
        <v>39</v>
      </c>
      <c r="E50" t="s">
        <v>35</v>
      </c>
      <c r="F50" t="s">
        <v>18</v>
      </c>
      <c r="G50" s="2">
        <v>12350</v>
      </c>
      <c r="H50">
        <f>YEAR(tblServicios[[#This Row],[Fecha]])</f>
        <v>2024</v>
      </c>
      <c r="I50">
        <f>MONTH(tblServicios[[#This Row],[Fecha]])</f>
        <v>5</v>
      </c>
    </row>
    <row r="51" spans="1:9" x14ac:dyDescent="0.25">
      <c r="A51" t="s">
        <v>82</v>
      </c>
      <c r="B51" s="1">
        <v>45421</v>
      </c>
      <c r="C51" t="s">
        <v>15</v>
      </c>
      <c r="D51" t="s">
        <v>28</v>
      </c>
      <c r="E51" t="s">
        <v>29</v>
      </c>
      <c r="F51" t="s">
        <v>18</v>
      </c>
      <c r="G51" s="2">
        <v>1350</v>
      </c>
      <c r="H51">
        <f>YEAR(tblServicios[[#This Row],[Fecha]])</f>
        <v>2024</v>
      </c>
      <c r="I51">
        <f>MONTH(tblServicios[[#This Row],[Fecha]])</f>
        <v>5</v>
      </c>
    </row>
    <row r="52" spans="1:9" x14ac:dyDescent="0.25">
      <c r="A52" t="s">
        <v>83</v>
      </c>
      <c r="B52" s="1">
        <v>45430</v>
      </c>
      <c r="C52" t="s">
        <v>20</v>
      </c>
      <c r="D52" t="s">
        <v>25</v>
      </c>
      <c r="E52" t="s">
        <v>35</v>
      </c>
      <c r="F52" t="s">
        <v>48</v>
      </c>
      <c r="G52" s="2">
        <v>14700</v>
      </c>
      <c r="H52">
        <f>YEAR(tblServicios[[#This Row],[Fecha]])</f>
        <v>2024</v>
      </c>
      <c r="I52">
        <f>MONTH(tblServicios[[#This Row],[Fecha]])</f>
        <v>5</v>
      </c>
    </row>
    <row r="53" spans="1:9" x14ac:dyDescent="0.25">
      <c r="A53" t="s">
        <v>84</v>
      </c>
      <c r="B53" s="1">
        <v>45431</v>
      </c>
      <c r="C53" t="s">
        <v>15</v>
      </c>
      <c r="D53" t="s">
        <v>33</v>
      </c>
      <c r="E53" t="s">
        <v>29</v>
      </c>
      <c r="F53" t="s">
        <v>18</v>
      </c>
      <c r="G53" s="2">
        <v>1200</v>
      </c>
      <c r="H53">
        <f>YEAR(tblServicios[[#This Row],[Fecha]])</f>
        <v>2024</v>
      </c>
      <c r="I53">
        <f>MONTH(tblServicios[[#This Row],[Fecha]])</f>
        <v>5</v>
      </c>
    </row>
    <row r="54" spans="1:9" x14ac:dyDescent="0.25">
      <c r="A54" t="s">
        <v>85</v>
      </c>
      <c r="B54" s="1">
        <v>45438</v>
      </c>
      <c r="C54" t="s">
        <v>20</v>
      </c>
      <c r="D54" t="s">
        <v>16</v>
      </c>
      <c r="E54" t="s">
        <v>22</v>
      </c>
      <c r="F54" t="s">
        <v>26</v>
      </c>
      <c r="G54" s="2">
        <v>6900</v>
      </c>
      <c r="H54">
        <f>YEAR(tblServicios[[#This Row],[Fecha]])</f>
        <v>2024</v>
      </c>
      <c r="I54">
        <f>MONTH(tblServicios[[#This Row],[Fecha]])</f>
        <v>5</v>
      </c>
    </row>
    <row r="55" spans="1:9" x14ac:dyDescent="0.25">
      <c r="A55" t="s">
        <v>86</v>
      </c>
      <c r="B55" s="1">
        <v>45439</v>
      </c>
      <c r="C55" t="s">
        <v>10</v>
      </c>
      <c r="D55" t="s">
        <v>21</v>
      </c>
      <c r="E55" t="s">
        <v>12</v>
      </c>
      <c r="F55" t="s">
        <v>18</v>
      </c>
      <c r="G55" s="2">
        <v>2450</v>
      </c>
      <c r="H55">
        <f>YEAR(tblServicios[[#This Row],[Fecha]])</f>
        <v>2024</v>
      </c>
      <c r="I55">
        <f>MONTH(tblServicios[[#This Row],[Fecha]])</f>
        <v>5</v>
      </c>
    </row>
    <row r="56" spans="1:9" x14ac:dyDescent="0.25">
      <c r="A56" t="s">
        <v>87</v>
      </c>
      <c r="B56" s="1">
        <v>45440</v>
      </c>
      <c r="C56" t="s">
        <v>47</v>
      </c>
      <c r="D56" t="s">
        <v>25</v>
      </c>
      <c r="E56" t="s">
        <v>35</v>
      </c>
      <c r="F56" t="s">
        <v>26</v>
      </c>
      <c r="G56" s="2">
        <v>16200</v>
      </c>
      <c r="H56">
        <f>YEAR(tblServicios[[#This Row],[Fecha]])</f>
        <v>2024</v>
      </c>
      <c r="I56">
        <f>MONTH(tblServicios[[#This Row],[Fecha]])</f>
        <v>5</v>
      </c>
    </row>
    <row r="57" spans="1:9" x14ac:dyDescent="0.25">
      <c r="A57" t="s">
        <v>88</v>
      </c>
      <c r="B57" s="1">
        <v>45443</v>
      </c>
      <c r="C57" t="s">
        <v>15</v>
      </c>
      <c r="D57" t="s">
        <v>69</v>
      </c>
      <c r="E57" t="s">
        <v>17</v>
      </c>
      <c r="F57" t="s">
        <v>13</v>
      </c>
      <c r="G57" s="2">
        <v>137650</v>
      </c>
      <c r="H57">
        <f>YEAR(tblServicios[[#This Row],[Fecha]])</f>
        <v>2024</v>
      </c>
      <c r="I57">
        <f>MONTH(tblServicios[[#This Row],[Fecha]])</f>
        <v>5</v>
      </c>
    </row>
    <row r="58" spans="1:9" x14ac:dyDescent="0.25">
      <c r="A58" t="s">
        <v>89</v>
      </c>
      <c r="B58" s="1">
        <v>45444</v>
      </c>
      <c r="C58" t="s">
        <v>15</v>
      </c>
      <c r="D58" t="s">
        <v>39</v>
      </c>
      <c r="E58" t="s">
        <v>35</v>
      </c>
      <c r="F58" t="s">
        <v>30</v>
      </c>
      <c r="G58" s="2">
        <v>10100</v>
      </c>
      <c r="H58">
        <f>YEAR(tblServicios[[#This Row],[Fecha]])</f>
        <v>2024</v>
      </c>
      <c r="I58">
        <f>MONTH(tblServicios[[#This Row],[Fecha]])</f>
        <v>6</v>
      </c>
    </row>
    <row r="59" spans="1:9" x14ac:dyDescent="0.25">
      <c r="A59" t="s">
        <v>90</v>
      </c>
      <c r="B59" s="1">
        <v>45446</v>
      </c>
      <c r="C59" t="s">
        <v>47</v>
      </c>
      <c r="D59" t="s">
        <v>11</v>
      </c>
      <c r="E59" t="s">
        <v>12</v>
      </c>
      <c r="F59" t="s">
        <v>18</v>
      </c>
      <c r="G59" s="2">
        <v>3550</v>
      </c>
      <c r="H59">
        <f>YEAR(tblServicios[[#This Row],[Fecha]])</f>
        <v>2024</v>
      </c>
      <c r="I59">
        <f>MONTH(tblServicios[[#This Row],[Fecha]])</f>
        <v>6</v>
      </c>
    </row>
    <row r="60" spans="1:9" x14ac:dyDescent="0.25">
      <c r="A60" t="s">
        <v>91</v>
      </c>
      <c r="B60" s="1">
        <v>45448</v>
      </c>
      <c r="C60" t="s">
        <v>10</v>
      </c>
      <c r="D60" t="s">
        <v>39</v>
      </c>
      <c r="E60" t="s">
        <v>29</v>
      </c>
      <c r="F60" t="s">
        <v>18</v>
      </c>
      <c r="G60" s="2">
        <v>2600</v>
      </c>
      <c r="H60">
        <f>YEAR(tblServicios[[#This Row],[Fecha]])</f>
        <v>2024</v>
      </c>
      <c r="I60">
        <f>MONTH(tblServicios[[#This Row],[Fecha]])</f>
        <v>6</v>
      </c>
    </row>
    <row r="61" spans="1:9" x14ac:dyDescent="0.25">
      <c r="A61" t="s">
        <v>92</v>
      </c>
      <c r="B61" s="1">
        <v>45451</v>
      </c>
      <c r="C61" t="s">
        <v>24</v>
      </c>
      <c r="D61" t="s">
        <v>28</v>
      </c>
      <c r="E61" t="s">
        <v>29</v>
      </c>
      <c r="F61" t="s">
        <v>18</v>
      </c>
      <c r="G61" s="2">
        <v>1200</v>
      </c>
      <c r="H61">
        <f>YEAR(tblServicios[[#This Row],[Fecha]])</f>
        <v>2024</v>
      </c>
      <c r="I61">
        <f>MONTH(tblServicios[[#This Row],[Fecha]])</f>
        <v>6</v>
      </c>
    </row>
    <row r="62" spans="1:9" x14ac:dyDescent="0.25">
      <c r="A62" t="s">
        <v>93</v>
      </c>
      <c r="B62" s="1">
        <v>45455</v>
      </c>
      <c r="C62" t="s">
        <v>15</v>
      </c>
      <c r="D62" t="s">
        <v>39</v>
      </c>
      <c r="E62" t="s">
        <v>29</v>
      </c>
      <c r="F62" t="s">
        <v>26</v>
      </c>
      <c r="G62" s="2">
        <v>3200</v>
      </c>
      <c r="H62">
        <f>YEAR(tblServicios[[#This Row],[Fecha]])</f>
        <v>2024</v>
      </c>
      <c r="I62">
        <f>MONTH(tblServicios[[#This Row],[Fecha]])</f>
        <v>6</v>
      </c>
    </row>
    <row r="63" spans="1:9" x14ac:dyDescent="0.25">
      <c r="A63" t="s">
        <v>94</v>
      </c>
      <c r="B63" s="1">
        <v>45456</v>
      </c>
      <c r="C63" t="s">
        <v>20</v>
      </c>
      <c r="D63" t="s">
        <v>25</v>
      </c>
      <c r="E63" t="s">
        <v>35</v>
      </c>
      <c r="F63" t="s">
        <v>18</v>
      </c>
      <c r="G63" s="2">
        <v>14000</v>
      </c>
      <c r="H63">
        <f>YEAR(tblServicios[[#This Row],[Fecha]])</f>
        <v>2024</v>
      </c>
      <c r="I63">
        <f>MONTH(tblServicios[[#This Row],[Fecha]])</f>
        <v>6</v>
      </c>
    </row>
    <row r="64" spans="1:9" x14ac:dyDescent="0.25">
      <c r="A64" t="s">
        <v>95</v>
      </c>
      <c r="B64" s="1">
        <v>45459</v>
      </c>
      <c r="C64" t="s">
        <v>15</v>
      </c>
      <c r="D64" t="s">
        <v>16</v>
      </c>
      <c r="E64" t="s">
        <v>22</v>
      </c>
      <c r="F64" t="s">
        <v>18</v>
      </c>
      <c r="G64" s="2">
        <v>13950</v>
      </c>
      <c r="H64">
        <f>YEAR(tblServicios[[#This Row],[Fecha]])</f>
        <v>2024</v>
      </c>
      <c r="I64">
        <f>MONTH(tblServicios[[#This Row],[Fecha]])</f>
        <v>6</v>
      </c>
    </row>
    <row r="65" spans="1:9" x14ac:dyDescent="0.25">
      <c r="A65" t="s">
        <v>96</v>
      </c>
      <c r="B65" s="1">
        <v>45459</v>
      </c>
      <c r="C65" t="s">
        <v>47</v>
      </c>
      <c r="D65" t="s">
        <v>16</v>
      </c>
      <c r="E65" t="s">
        <v>35</v>
      </c>
      <c r="F65" t="s">
        <v>26</v>
      </c>
      <c r="G65" s="2">
        <v>12500</v>
      </c>
      <c r="H65">
        <f>YEAR(tblServicios[[#This Row],[Fecha]])</f>
        <v>2024</v>
      </c>
      <c r="I65">
        <f>MONTH(tblServicios[[#This Row],[Fecha]])</f>
        <v>6</v>
      </c>
    </row>
    <row r="66" spans="1:9" x14ac:dyDescent="0.25">
      <c r="A66" t="s">
        <v>97</v>
      </c>
      <c r="B66" s="1">
        <v>45461</v>
      </c>
      <c r="C66" t="s">
        <v>24</v>
      </c>
      <c r="D66" t="s">
        <v>39</v>
      </c>
      <c r="E66" t="s">
        <v>35</v>
      </c>
      <c r="F66" t="s">
        <v>45</v>
      </c>
      <c r="G66" s="2">
        <v>11150</v>
      </c>
      <c r="H66">
        <f>YEAR(tblServicios[[#This Row],[Fecha]])</f>
        <v>2024</v>
      </c>
      <c r="I66">
        <f>MONTH(tblServicios[[#This Row],[Fecha]])</f>
        <v>6</v>
      </c>
    </row>
    <row r="67" spans="1:9" x14ac:dyDescent="0.25">
      <c r="A67" t="s">
        <v>98</v>
      </c>
      <c r="B67" s="1">
        <v>45469</v>
      </c>
      <c r="C67" t="s">
        <v>24</v>
      </c>
      <c r="D67" t="s">
        <v>39</v>
      </c>
      <c r="E67" t="s">
        <v>35</v>
      </c>
      <c r="F67" t="s">
        <v>18</v>
      </c>
      <c r="G67" s="2">
        <v>10500</v>
      </c>
      <c r="H67">
        <f>YEAR(tblServicios[[#This Row],[Fecha]])</f>
        <v>2024</v>
      </c>
      <c r="I67">
        <f>MONTH(tblServicios[[#This Row],[Fecha]])</f>
        <v>6</v>
      </c>
    </row>
    <row r="68" spans="1:9" x14ac:dyDescent="0.25">
      <c r="A68" t="s">
        <v>99</v>
      </c>
      <c r="B68" s="1">
        <v>45471</v>
      </c>
      <c r="C68" t="s">
        <v>10</v>
      </c>
      <c r="D68" t="s">
        <v>69</v>
      </c>
      <c r="E68" t="s">
        <v>29</v>
      </c>
      <c r="F68" t="s">
        <v>13</v>
      </c>
      <c r="G68" s="2">
        <v>3000</v>
      </c>
      <c r="H68">
        <f>YEAR(tblServicios[[#This Row],[Fecha]])</f>
        <v>2024</v>
      </c>
      <c r="I68">
        <f>MONTH(tblServicios[[#This Row],[Fecha]])</f>
        <v>6</v>
      </c>
    </row>
    <row r="69" spans="1:9" x14ac:dyDescent="0.25">
      <c r="A69" t="s">
        <v>100</v>
      </c>
      <c r="B69" s="1">
        <v>45475</v>
      </c>
      <c r="C69" t="s">
        <v>10</v>
      </c>
      <c r="D69" t="s">
        <v>21</v>
      </c>
      <c r="E69" t="s">
        <v>22</v>
      </c>
      <c r="F69" t="s">
        <v>18</v>
      </c>
      <c r="G69" s="2">
        <v>14050</v>
      </c>
      <c r="H69">
        <f>YEAR(tblServicios[[#This Row],[Fecha]])</f>
        <v>2024</v>
      </c>
      <c r="I69">
        <f>MONTH(tblServicios[[#This Row],[Fecha]])</f>
        <v>7</v>
      </c>
    </row>
    <row r="70" spans="1:9" x14ac:dyDescent="0.25">
      <c r="A70" t="s">
        <v>101</v>
      </c>
      <c r="B70" s="1">
        <v>45479</v>
      </c>
      <c r="C70" t="s">
        <v>10</v>
      </c>
      <c r="D70" t="s">
        <v>16</v>
      </c>
      <c r="E70" t="s">
        <v>35</v>
      </c>
      <c r="F70" t="s">
        <v>45</v>
      </c>
      <c r="G70" s="2">
        <v>6950</v>
      </c>
      <c r="H70">
        <f>YEAR(tblServicios[[#This Row],[Fecha]])</f>
        <v>2024</v>
      </c>
      <c r="I70">
        <f>MONTH(tblServicios[[#This Row],[Fecha]])</f>
        <v>7</v>
      </c>
    </row>
    <row r="71" spans="1:9" x14ac:dyDescent="0.25">
      <c r="A71" t="s">
        <v>102</v>
      </c>
      <c r="B71" s="1">
        <v>45480</v>
      </c>
      <c r="C71" t="s">
        <v>10</v>
      </c>
      <c r="D71" t="s">
        <v>39</v>
      </c>
      <c r="E71" t="s">
        <v>35</v>
      </c>
      <c r="F71" t="s">
        <v>18</v>
      </c>
      <c r="G71" s="2">
        <v>9650</v>
      </c>
      <c r="H71">
        <f>YEAR(tblServicios[[#This Row],[Fecha]])</f>
        <v>2024</v>
      </c>
      <c r="I71">
        <f>MONTH(tblServicios[[#This Row],[Fecha]])</f>
        <v>7</v>
      </c>
    </row>
    <row r="72" spans="1:9" x14ac:dyDescent="0.25">
      <c r="A72" t="s">
        <v>103</v>
      </c>
      <c r="B72" s="1">
        <v>45484</v>
      </c>
      <c r="C72" t="s">
        <v>15</v>
      </c>
      <c r="D72" t="s">
        <v>25</v>
      </c>
      <c r="E72" t="s">
        <v>35</v>
      </c>
      <c r="F72" t="s">
        <v>18</v>
      </c>
      <c r="G72" s="2">
        <v>6700</v>
      </c>
      <c r="H72">
        <f>YEAR(tblServicios[[#This Row],[Fecha]])</f>
        <v>2024</v>
      </c>
      <c r="I72">
        <f>MONTH(tblServicios[[#This Row],[Fecha]])</f>
        <v>7</v>
      </c>
    </row>
    <row r="73" spans="1:9" x14ac:dyDescent="0.25">
      <c r="A73" t="s">
        <v>104</v>
      </c>
      <c r="B73" s="1">
        <v>45486</v>
      </c>
      <c r="C73" t="s">
        <v>10</v>
      </c>
      <c r="D73" t="s">
        <v>21</v>
      </c>
      <c r="E73" t="s">
        <v>12</v>
      </c>
      <c r="F73" t="s">
        <v>13</v>
      </c>
      <c r="G73" s="2">
        <v>3600</v>
      </c>
      <c r="H73">
        <f>YEAR(tblServicios[[#This Row],[Fecha]])</f>
        <v>2024</v>
      </c>
      <c r="I73">
        <f>MONTH(tblServicios[[#This Row],[Fecha]])</f>
        <v>7</v>
      </c>
    </row>
    <row r="74" spans="1:9" x14ac:dyDescent="0.25">
      <c r="A74" t="s">
        <v>105</v>
      </c>
      <c r="B74" s="1">
        <v>45487</v>
      </c>
      <c r="C74" t="s">
        <v>24</v>
      </c>
      <c r="D74" t="s">
        <v>21</v>
      </c>
      <c r="E74" t="s">
        <v>22</v>
      </c>
      <c r="F74" t="s">
        <v>13</v>
      </c>
      <c r="G74" s="2">
        <v>10050</v>
      </c>
      <c r="H74">
        <f>YEAR(tblServicios[[#This Row],[Fecha]])</f>
        <v>2024</v>
      </c>
      <c r="I74">
        <f>MONTH(tblServicios[[#This Row],[Fecha]])</f>
        <v>7</v>
      </c>
    </row>
    <row r="75" spans="1:9" x14ac:dyDescent="0.25">
      <c r="A75" t="s">
        <v>106</v>
      </c>
      <c r="B75" s="1">
        <v>45489</v>
      </c>
      <c r="C75" t="s">
        <v>47</v>
      </c>
      <c r="D75" t="s">
        <v>25</v>
      </c>
      <c r="E75" t="s">
        <v>17</v>
      </c>
      <c r="F75" t="s">
        <v>13</v>
      </c>
      <c r="G75" s="2">
        <v>177650</v>
      </c>
      <c r="H75">
        <f>YEAR(tblServicios[[#This Row],[Fecha]])</f>
        <v>2024</v>
      </c>
      <c r="I75">
        <f>MONTH(tblServicios[[#This Row],[Fecha]])</f>
        <v>7</v>
      </c>
    </row>
    <row r="76" spans="1:9" x14ac:dyDescent="0.25">
      <c r="A76" t="s">
        <v>107</v>
      </c>
      <c r="B76" s="1">
        <v>45500</v>
      </c>
      <c r="C76" t="s">
        <v>15</v>
      </c>
      <c r="D76" t="s">
        <v>33</v>
      </c>
      <c r="E76" t="s">
        <v>29</v>
      </c>
      <c r="F76" t="s">
        <v>18</v>
      </c>
      <c r="G76" s="2">
        <v>2850</v>
      </c>
      <c r="H76">
        <f>YEAR(tblServicios[[#This Row],[Fecha]])</f>
        <v>2024</v>
      </c>
      <c r="I76">
        <f>MONTH(tblServicios[[#This Row],[Fecha]])</f>
        <v>7</v>
      </c>
    </row>
    <row r="77" spans="1:9" x14ac:dyDescent="0.25">
      <c r="A77" t="s">
        <v>108</v>
      </c>
      <c r="B77" s="1">
        <v>45502</v>
      </c>
      <c r="C77" t="s">
        <v>15</v>
      </c>
      <c r="D77" t="s">
        <v>39</v>
      </c>
      <c r="E77" t="s">
        <v>35</v>
      </c>
      <c r="F77" t="s">
        <v>13</v>
      </c>
      <c r="G77" s="2">
        <v>6050</v>
      </c>
      <c r="H77">
        <f>YEAR(tblServicios[[#This Row],[Fecha]])</f>
        <v>2024</v>
      </c>
      <c r="I77">
        <f>MONTH(tblServicios[[#This Row],[Fecha]])</f>
        <v>7</v>
      </c>
    </row>
    <row r="78" spans="1:9" x14ac:dyDescent="0.25">
      <c r="A78" t="s">
        <v>109</v>
      </c>
      <c r="B78" s="1">
        <v>45503</v>
      </c>
      <c r="C78" t="s">
        <v>10</v>
      </c>
      <c r="D78" t="s">
        <v>25</v>
      </c>
      <c r="E78" t="s">
        <v>17</v>
      </c>
      <c r="F78" t="s">
        <v>45</v>
      </c>
      <c r="G78" s="2">
        <v>121650</v>
      </c>
      <c r="H78">
        <f>YEAR(tblServicios[[#This Row],[Fecha]])</f>
        <v>2024</v>
      </c>
      <c r="I78">
        <f>MONTH(tblServicios[[#This Row],[Fecha]])</f>
        <v>7</v>
      </c>
    </row>
    <row r="79" spans="1:9" x14ac:dyDescent="0.25">
      <c r="A79" t="s">
        <v>110</v>
      </c>
      <c r="B79" s="1">
        <v>45504</v>
      </c>
      <c r="C79" t="s">
        <v>20</v>
      </c>
      <c r="D79" t="s">
        <v>11</v>
      </c>
      <c r="E79" t="s">
        <v>12</v>
      </c>
      <c r="F79" t="s">
        <v>30</v>
      </c>
      <c r="G79" s="2">
        <v>5800</v>
      </c>
      <c r="H79">
        <f>YEAR(tblServicios[[#This Row],[Fecha]])</f>
        <v>2024</v>
      </c>
      <c r="I79">
        <f>MONTH(tblServicios[[#This Row],[Fecha]])</f>
        <v>7</v>
      </c>
    </row>
    <row r="80" spans="1:9" x14ac:dyDescent="0.25">
      <c r="A80" t="s">
        <v>111</v>
      </c>
      <c r="B80" s="1">
        <v>45504</v>
      </c>
      <c r="C80" t="s">
        <v>20</v>
      </c>
      <c r="D80" t="s">
        <v>11</v>
      </c>
      <c r="E80" t="s">
        <v>12</v>
      </c>
      <c r="F80" t="s">
        <v>18</v>
      </c>
      <c r="G80" s="2">
        <v>3550</v>
      </c>
      <c r="H80">
        <f>YEAR(tblServicios[[#This Row],[Fecha]])</f>
        <v>2024</v>
      </c>
      <c r="I80">
        <f>MONTH(tblServicios[[#This Row],[Fecha]])</f>
        <v>7</v>
      </c>
    </row>
    <row r="81" spans="1:9" x14ac:dyDescent="0.25">
      <c r="A81" t="s">
        <v>112</v>
      </c>
      <c r="B81" s="1">
        <v>45508</v>
      </c>
      <c r="C81" t="s">
        <v>24</v>
      </c>
      <c r="D81" t="s">
        <v>11</v>
      </c>
      <c r="E81" t="s">
        <v>12</v>
      </c>
      <c r="F81" t="s">
        <v>26</v>
      </c>
      <c r="G81" s="2">
        <v>2800</v>
      </c>
      <c r="H81">
        <f>YEAR(tblServicios[[#This Row],[Fecha]])</f>
        <v>2024</v>
      </c>
      <c r="I81">
        <f>MONTH(tblServicios[[#This Row],[Fecha]])</f>
        <v>8</v>
      </c>
    </row>
    <row r="82" spans="1:9" x14ac:dyDescent="0.25">
      <c r="A82" t="s">
        <v>113</v>
      </c>
      <c r="B82" s="1">
        <v>45508</v>
      </c>
      <c r="C82" t="s">
        <v>24</v>
      </c>
      <c r="D82" t="s">
        <v>33</v>
      </c>
      <c r="E82" t="s">
        <v>29</v>
      </c>
      <c r="F82" t="s">
        <v>48</v>
      </c>
      <c r="G82" s="2">
        <v>2200</v>
      </c>
      <c r="H82">
        <f>YEAR(tblServicios[[#This Row],[Fecha]])</f>
        <v>2024</v>
      </c>
      <c r="I82">
        <f>MONTH(tblServicios[[#This Row],[Fecha]])</f>
        <v>8</v>
      </c>
    </row>
    <row r="83" spans="1:9" x14ac:dyDescent="0.25">
      <c r="A83" t="s">
        <v>114</v>
      </c>
      <c r="B83" s="1">
        <v>45508</v>
      </c>
      <c r="C83" t="s">
        <v>24</v>
      </c>
      <c r="D83" t="s">
        <v>21</v>
      </c>
      <c r="E83" t="s">
        <v>12</v>
      </c>
      <c r="F83" t="s">
        <v>18</v>
      </c>
      <c r="G83" s="2">
        <v>5850</v>
      </c>
      <c r="H83">
        <f>YEAR(tblServicios[[#This Row],[Fecha]])</f>
        <v>2024</v>
      </c>
      <c r="I83">
        <f>MONTH(tblServicios[[#This Row],[Fecha]])</f>
        <v>8</v>
      </c>
    </row>
    <row r="84" spans="1:9" x14ac:dyDescent="0.25">
      <c r="A84" t="s">
        <v>115</v>
      </c>
      <c r="B84" s="1">
        <v>45511</v>
      </c>
      <c r="C84" t="s">
        <v>10</v>
      </c>
      <c r="D84" t="s">
        <v>33</v>
      </c>
      <c r="E84" t="s">
        <v>29</v>
      </c>
      <c r="F84" t="s">
        <v>45</v>
      </c>
      <c r="G84" s="2">
        <v>1150</v>
      </c>
      <c r="H84">
        <f>YEAR(tblServicios[[#This Row],[Fecha]])</f>
        <v>2024</v>
      </c>
      <c r="I84">
        <f>MONTH(tblServicios[[#This Row],[Fecha]])</f>
        <v>8</v>
      </c>
    </row>
    <row r="85" spans="1:9" x14ac:dyDescent="0.25">
      <c r="A85" t="s">
        <v>116</v>
      </c>
      <c r="B85" s="1">
        <v>45514</v>
      </c>
      <c r="C85" t="s">
        <v>10</v>
      </c>
      <c r="D85" t="s">
        <v>11</v>
      </c>
      <c r="E85" t="s">
        <v>12</v>
      </c>
      <c r="F85" t="s">
        <v>48</v>
      </c>
      <c r="G85" s="2">
        <v>4900</v>
      </c>
      <c r="H85">
        <f>YEAR(tblServicios[[#This Row],[Fecha]])</f>
        <v>2024</v>
      </c>
      <c r="I85">
        <f>MONTH(tblServicios[[#This Row],[Fecha]])</f>
        <v>8</v>
      </c>
    </row>
    <row r="86" spans="1:9" x14ac:dyDescent="0.25">
      <c r="A86" t="s">
        <v>117</v>
      </c>
      <c r="B86" s="1">
        <v>45514</v>
      </c>
      <c r="C86" t="s">
        <v>20</v>
      </c>
      <c r="D86" t="s">
        <v>28</v>
      </c>
      <c r="E86" t="s">
        <v>12</v>
      </c>
      <c r="F86" t="s">
        <v>18</v>
      </c>
      <c r="G86" s="2">
        <v>4750</v>
      </c>
      <c r="H86">
        <f>YEAR(tblServicios[[#This Row],[Fecha]])</f>
        <v>2024</v>
      </c>
      <c r="I86">
        <f>MONTH(tblServicios[[#This Row],[Fecha]])</f>
        <v>8</v>
      </c>
    </row>
    <row r="87" spans="1:9" x14ac:dyDescent="0.25">
      <c r="A87" t="s">
        <v>118</v>
      </c>
      <c r="B87" s="1">
        <v>45516</v>
      </c>
      <c r="C87" t="s">
        <v>15</v>
      </c>
      <c r="D87" t="s">
        <v>11</v>
      </c>
      <c r="E87" t="s">
        <v>12</v>
      </c>
      <c r="F87" t="s">
        <v>18</v>
      </c>
      <c r="G87" s="2">
        <v>3100</v>
      </c>
      <c r="H87">
        <f>YEAR(tblServicios[[#This Row],[Fecha]])</f>
        <v>2024</v>
      </c>
      <c r="I87">
        <f>MONTH(tblServicios[[#This Row],[Fecha]])</f>
        <v>8</v>
      </c>
    </row>
    <row r="88" spans="1:9" x14ac:dyDescent="0.25">
      <c r="A88" t="s">
        <v>119</v>
      </c>
      <c r="B88" s="1">
        <v>45522</v>
      </c>
      <c r="C88" t="s">
        <v>10</v>
      </c>
      <c r="D88" t="s">
        <v>69</v>
      </c>
      <c r="E88" t="s">
        <v>29</v>
      </c>
      <c r="F88" t="s">
        <v>48</v>
      </c>
      <c r="G88" s="2">
        <v>3100</v>
      </c>
      <c r="H88">
        <f>YEAR(tblServicios[[#This Row],[Fecha]])</f>
        <v>2024</v>
      </c>
      <c r="I88">
        <f>MONTH(tblServicios[[#This Row],[Fecha]])</f>
        <v>8</v>
      </c>
    </row>
    <row r="89" spans="1:9" x14ac:dyDescent="0.25">
      <c r="A89" t="s">
        <v>120</v>
      </c>
      <c r="B89" s="1">
        <v>45526</v>
      </c>
      <c r="C89" t="s">
        <v>10</v>
      </c>
      <c r="D89" t="s">
        <v>21</v>
      </c>
      <c r="E89" t="s">
        <v>12</v>
      </c>
      <c r="F89" t="s">
        <v>30</v>
      </c>
      <c r="G89" s="2">
        <v>1750</v>
      </c>
      <c r="H89">
        <f>YEAR(tblServicios[[#This Row],[Fecha]])</f>
        <v>2024</v>
      </c>
      <c r="I89">
        <f>MONTH(tblServicios[[#This Row],[Fecha]])</f>
        <v>8</v>
      </c>
    </row>
    <row r="90" spans="1:9" x14ac:dyDescent="0.25">
      <c r="A90" t="s">
        <v>121</v>
      </c>
      <c r="B90" s="1">
        <v>45526</v>
      </c>
      <c r="C90" t="s">
        <v>15</v>
      </c>
      <c r="D90" t="s">
        <v>11</v>
      </c>
      <c r="E90" t="s">
        <v>12</v>
      </c>
      <c r="F90" t="s">
        <v>48</v>
      </c>
      <c r="G90" s="2">
        <v>5750</v>
      </c>
      <c r="H90">
        <f>YEAR(tblServicios[[#This Row],[Fecha]])</f>
        <v>2024</v>
      </c>
      <c r="I90">
        <f>MONTH(tblServicios[[#This Row],[Fecha]])</f>
        <v>8</v>
      </c>
    </row>
    <row r="91" spans="1:9" x14ac:dyDescent="0.25">
      <c r="A91" t="s">
        <v>122</v>
      </c>
      <c r="B91" s="1">
        <v>45533</v>
      </c>
      <c r="C91" t="s">
        <v>20</v>
      </c>
      <c r="D91" t="s">
        <v>11</v>
      </c>
      <c r="E91" t="s">
        <v>12</v>
      </c>
      <c r="F91" t="s">
        <v>48</v>
      </c>
      <c r="G91" s="2">
        <v>4800</v>
      </c>
      <c r="H91">
        <f>YEAR(tblServicios[[#This Row],[Fecha]])</f>
        <v>2024</v>
      </c>
      <c r="I91">
        <f>MONTH(tblServicios[[#This Row],[Fecha]])</f>
        <v>8</v>
      </c>
    </row>
    <row r="92" spans="1:9" x14ac:dyDescent="0.25">
      <c r="A92" t="s">
        <v>123</v>
      </c>
      <c r="B92" s="1">
        <v>45534</v>
      </c>
      <c r="C92" t="s">
        <v>10</v>
      </c>
      <c r="D92" t="s">
        <v>11</v>
      </c>
      <c r="E92" t="s">
        <v>12</v>
      </c>
      <c r="F92" t="s">
        <v>45</v>
      </c>
      <c r="G92" s="2">
        <v>3100</v>
      </c>
      <c r="H92">
        <f>YEAR(tblServicios[[#This Row],[Fecha]])</f>
        <v>2024</v>
      </c>
      <c r="I92">
        <f>MONTH(tblServicios[[#This Row],[Fecha]])</f>
        <v>8</v>
      </c>
    </row>
    <row r="93" spans="1:9" x14ac:dyDescent="0.25">
      <c r="A93" t="s">
        <v>124</v>
      </c>
      <c r="B93" s="1">
        <v>45538</v>
      </c>
      <c r="C93" t="s">
        <v>10</v>
      </c>
      <c r="D93" t="s">
        <v>28</v>
      </c>
      <c r="E93" t="s">
        <v>29</v>
      </c>
      <c r="F93" t="s">
        <v>13</v>
      </c>
      <c r="G93" s="2">
        <v>2400</v>
      </c>
      <c r="H93">
        <f>YEAR(tblServicios[[#This Row],[Fecha]])</f>
        <v>2024</v>
      </c>
      <c r="I93">
        <f>MONTH(tblServicios[[#This Row],[Fecha]])</f>
        <v>9</v>
      </c>
    </row>
    <row r="94" spans="1:9" x14ac:dyDescent="0.25">
      <c r="A94" t="s">
        <v>125</v>
      </c>
      <c r="B94" s="1">
        <v>45539</v>
      </c>
      <c r="C94" t="s">
        <v>10</v>
      </c>
      <c r="D94" t="s">
        <v>69</v>
      </c>
      <c r="E94" t="s">
        <v>29</v>
      </c>
      <c r="F94" t="s">
        <v>48</v>
      </c>
      <c r="G94" s="2">
        <v>1300</v>
      </c>
      <c r="H94">
        <f>YEAR(tblServicios[[#This Row],[Fecha]])</f>
        <v>2024</v>
      </c>
      <c r="I94">
        <f>MONTH(tblServicios[[#This Row],[Fecha]])</f>
        <v>9</v>
      </c>
    </row>
    <row r="95" spans="1:9" x14ac:dyDescent="0.25">
      <c r="A95" t="s">
        <v>126</v>
      </c>
      <c r="B95" s="1">
        <v>45540</v>
      </c>
      <c r="C95" t="s">
        <v>10</v>
      </c>
      <c r="D95" t="s">
        <v>25</v>
      </c>
      <c r="E95" t="s">
        <v>17</v>
      </c>
      <c r="F95" t="s">
        <v>13</v>
      </c>
      <c r="G95" s="2">
        <v>107850</v>
      </c>
      <c r="H95">
        <f>YEAR(tblServicios[[#This Row],[Fecha]])</f>
        <v>2024</v>
      </c>
      <c r="I95">
        <f>MONTH(tblServicios[[#This Row],[Fecha]])</f>
        <v>9</v>
      </c>
    </row>
    <row r="96" spans="1:9" x14ac:dyDescent="0.25">
      <c r="A96" t="s">
        <v>127</v>
      </c>
      <c r="B96" s="1">
        <v>45541</v>
      </c>
      <c r="C96" t="s">
        <v>24</v>
      </c>
      <c r="D96" t="s">
        <v>21</v>
      </c>
      <c r="E96" t="s">
        <v>12</v>
      </c>
      <c r="F96" t="s">
        <v>18</v>
      </c>
      <c r="G96" s="2">
        <v>2300</v>
      </c>
      <c r="H96">
        <f>YEAR(tblServicios[[#This Row],[Fecha]])</f>
        <v>2024</v>
      </c>
      <c r="I96">
        <f>MONTH(tblServicios[[#This Row],[Fecha]])</f>
        <v>9</v>
      </c>
    </row>
    <row r="97" spans="1:9" x14ac:dyDescent="0.25">
      <c r="A97" t="s">
        <v>128</v>
      </c>
      <c r="B97" s="1">
        <v>45544</v>
      </c>
      <c r="C97" t="s">
        <v>47</v>
      </c>
      <c r="D97" t="s">
        <v>25</v>
      </c>
      <c r="E97" t="s">
        <v>17</v>
      </c>
      <c r="F97" t="s">
        <v>13</v>
      </c>
      <c r="G97" s="2">
        <v>136800</v>
      </c>
      <c r="H97">
        <f>YEAR(tblServicios[[#This Row],[Fecha]])</f>
        <v>2024</v>
      </c>
      <c r="I97">
        <f>MONTH(tblServicios[[#This Row],[Fecha]])</f>
        <v>9</v>
      </c>
    </row>
    <row r="98" spans="1:9" x14ac:dyDescent="0.25">
      <c r="A98" t="s">
        <v>129</v>
      </c>
      <c r="B98" s="1">
        <v>45547</v>
      </c>
      <c r="C98" t="s">
        <v>20</v>
      </c>
      <c r="D98" t="s">
        <v>33</v>
      </c>
      <c r="E98" t="s">
        <v>29</v>
      </c>
      <c r="F98" t="s">
        <v>18</v>
      </c>
      <c r="G98" s="2">
        <v>3450</v>
      </c>
      <c r="H98">
        <f>YEAR(tblServicios[[#This Row],[Fecha]])</f>
        <v>2024</v>
      </c>
      <c r="I98">
        <f>MONTH(tblServicios[[#This Row],[Fecha]])</f>
        <v>9</v>
      </c>
    </row>
    <row r="99" spans="1:9" x14ac:dyDescent="0.25">
      <c r="A99" t="s">
        <v>130</v>
      </c>
      <c r="B99" s="1">
        <v>45549</v>
      </c>
      <c r="C99" t="s">
        <v>20</v>
      </c>
      <c r="D99" t="s">
        <v>39</v>
      </c>
      <c r="E99" t="s">
        <v>29</v>
      </c>
      <c r="F99" t="s">
        <v>18</v>
      </c>
      <c r="G99" s="2">
        <v>1350</v>
      </c>
      <c r="H99">
        <f>YEAR(tblServicios[[#This Row],[Fecha]])</f>
        <v>2024</v>
      </c>
      <c r="I99">
        <f>MONTH(tblServicios[[#This Row],[Fecha]])</f>
        <v>9</v>
      </c>
    </row>
    <row r="100" spans="1:9" x14ac:dyDescent="0.25">
      <c r="A100" t="s">
        <v>131</v>
      </c>
      <c r="B100" s="1">
        <v>45549</v>
      </c>
      <c r="C100" t="s">
        <v>15</v>
      </c>
      <c r="D100" t="s">
        <v>25</v>
      </c>
      <c r="E100" t="s">
        <v>17</v>
      </c>
      <c r="F100" t="s">
        <v>45</v>
      </c>
      <c r="G100" s="2">
        <v>97800</v>
      </c>
      <c r="H100">
        <f>YEAR(tblServicios[[#This Row],[Fecha]])</f>
        <v>2024</v>
      </c>
      <c r="I100">
        <f>MONTH(tblServicios[[#This Row],[Fecha]])</f>
        <v>9</v>
      </c>
    </row>
    <row r="101" spans="1:9" x14ac:dyDescent="0.25">
      <c r="A101" t="s">
        <v>132</v>
      </c>
      <c r="B101" s="1">
        <v>45551</v>
      </c>
      <c r="C101" t="s">
        <v>15</v>
      </c>
      <c r="D101" t="s">
        <v>69</v>
      </c>
      <c r="E101" t="s">
        <v>29</v>
      </c>
      <c r="F101" t="s">
        <v>18</v>
      </c>
      <c r="G101" s="2">
        <v>1350</v>
      </c>
      <c r="H101">
        <f>YEAR(tblServicios[[#This Row],[Fecha]])</f>
        <v>2024</v>
      </c>
      <c r="I101">
        <f>MONTH(tblServicios[[#This Row],[Fecha]])</f>
        <v>9</v>
      </c>
    </row>
    <row r="102" spans="1:9" x14ac:dyDescent="0.25">
      <c r="A102" t="s">
        <v>133</v>
      </c>
      <c r="B102" s="1">
        <v>45552</v>
      </c>
      <c r="C102" t="s">
        <v>15</v>
      </c>
      <c r="D102" t="s">
        <v>28</v>
      </c>
      <c r="E102" t="s">
        <v>29</v>
      </c>
      <c r="F102" t="s">
        <v>45</v>
      </c>
      <c r="G102" s="2">
        <v>3300</v>
      </c>
      <c r="H102">
        <f>YEAR(tblServicios[[#This Row],[Fecha]])</f>
        <v>2024</v>
      </c>
      <c r="I102">
        <f>MONTH(tblServicios[[#This Row],[Fecha]])</f>
        <v>9</v>
      </c>
    </row>
    <row r="103" spans="1:9" x14ac:dyDescent="0.25">
      <c r="A103" t="s">
        <v>134</v>
      </c>
      <c r="B103" s="1">
        <v>45553</v>
      </c>
      <c r="C103" t="s">
        <v>15</v>
      </c>
      <c r="D103" t="s">
        <v>33</v>
      </c>
      <c r="E103" t="s">
        <v>29</v>
      </c>
      <c r="F103" t="s">
        <v>26</v>
      </c>
      <c r="G103" s="2">
        <v>2650</v>
      </c>
      <c r="H103">
        <f>YEAR(tblServicios[[#This Row],[Fecha]])</f>
        <v>2024</v>
      </c>
      <c r="I103">
        <f>MONTH(tblServicios[[#This Row],[Fecha]])</f>
        <v>9</v>
      </c>
    </row>
    <row r="104" spans="1:9" x14ac:dyDescent="0.25">
      <c r="A104" t="s">
        <v>135</v>
      </c>
      <c r="B104" s="1">
        <v>45556</v>
      </c>
      <c r="C104" t="s">
        <v>24</v>
      </c>
      <c r="D104" t="s">
        <v>21</v>
      </c>
      <c r="E104" t="s">
        <v>22</v>
      </c>
      <c r="F104" t="s">
        <v>26</v>
      </c>
      <c r="G104" s="2">
        <v>13400</v>
      </c>
      <c r="H104">
        <f>YEAR(tblServicios[[#This Row],[Fecha]])</f>
        <v>2024</v>
      </c>
      <c r="I104">
        <f>MONTH(tblServicios[[#This Row],[Fecha]])</f>
        <v>9</v>
      </c>
    </row>
    <row r="105" spans="1:9" x14ac:dyDescent="0.25">
      <c r="A105" t="s">
        <v>136</v>
      </c>
      <c r="B105" s="1">
        <v>45570</v>
      </c>
      <c r="C105" t="s">
        <v>10</v>
      </c>
      <c r="D105" t="s">
        <v>16</v>
      </c>
      <c r="E105" t="s">
        <v>17</v>
      </c>
      <c r="F105" t="s">
        <v>18</v>
      </c>
      <c r="G105" s="2">
        <v>153050</v>
      </c>
      <c r="H105">
        <f>YEAR(tblServicios[[#This Row],[Fecha]])</f>
        <v>2024</v>
      </c>
      <c r="I105">
        <f>MONTH(tblServicios[[#This Row],[Fecha]])</f>
        <v>10</v>
      </c>
    </row>
    <row r="106" spans="1:9" x14ac:dyDescent="0.25">
      <c r="A106" t="s">
        <v>137</v>
      </c>
      <c r="B106" s="1">
        <v>45571</v>
      </c>
      <c r="C106" t="s">
        <v>20</v>
      </c>
      <c r="D106" t="s">
        <v>11</v>
      </c>
      <c r="E106" t="s">
        <v>12</v>
      </c>
      <c r="F106" t="s">
        <v>30</v>
      </c>
      <c r="G106" s="2">
        <v>2200</v>
      </c>
      <c r="H106">
        <f>YEAR(tblServicios[[#This Row],[Fecha]])</f>
        <v>2024</v>
      </c>
      <c r="I106">
        <f>MONTH(tblServicios[[#This Row],[Fecha]])</f>
        <v>10</v>
      </c>
    </row>
    <row r="107" spans="1:9" x14ac:dyDescent="0.25">
      <c r="A107" t="s">
        <v>138</v>
      </c>
      <c r="B107" s="1">
        <v>45575</v>
      </c>
      <c r="C107" t="s">
        <v>15</v>
      </c>
      <c r="D107" t="s">
        <v>21</v>
      </c>
      <c r="E107" t="s">
        <v>12</v>
      </c>
      <c r="F107" t="s">
        <v>18</v>
      </c>
      <c r="G107" s="2">
        <v>3200</v>
      </c>
      <c r="H107">
        <f>YEAR(tblServicios[[#This Row],[Fecha]])</f>
        <v>2024</v>
      </c>
      <c r="I107">
        <f>MONTH(tblServicios[[#This Row],[Fecha]])</f>
        <v>10</v>
      </c>
    </row>
    <row r="108" spans="1:9" x14ac:dyDescent="0.25">
      <c r="A108" t="s">
        <v>139</v>
      </c>
      <c r="B108" s="1">
        <v>45577</v>
      </c>
      <c r="C108" t="s">
        <v>15</v>
      </c>
      <c r="D108" t="s">
        <v>21</v>
      </c>
      <c r="E108" t="s">
        <v>12</v>
      </c>
      <c r="F108" t="s">
        <v>18</v>
      </c>
      <c r="G108" s="2">
        <v>1750</v>
      </c>
      <c r="H108">
        <f>YEAR(tblServicios[[#This Row],[Fecha]])</f>
        <v>2024</v>
      </c>
      <c r="I108">
        <f>MONTH(tblServicios[[#This Row],[Fecha]])</f>
        <v>10</v>
      </c>
    </row>
    <row r="109" spans="1:9" x14ac:dyDescent="0.25">
      <c r="A109" t="s">
        <v>140</v>
      </c>
      <c r="B109" s="1">
        <v>45583</v>
      </c>
      <c r="C109" t="s">
        <v>20</v>
      </c>
      <c r="D109" t="s">
        <v>11</v>
      </c>
      <c r="E109" t="s">
        <v>12</v>
      </c>
      <c r="F109" t="s">
        <v>45</v>
      </c>
      <c r="G109" s="2">
        <v>5250</v>
      </c>
      <c r="H109">
        <f>YEAR(tblServicios[[#This Row],[Fecha]])</f>
        <v>2024</v>
      </c>
      <c r="I109">
        <f>MONTH(tblServicios[[#This Row],[Fecha]])</f>
        <v>10</v>
      </c>
    </row>
    <row r="110" spans="1:9" x14ac:dyDescent="0.25">
      <c r="A110" t="s">
        <v>141</v>
      </c>
      <c r="B110" s="1">
        <v>45585</v>
      </c>
      <c r="C110" t="s">
        <v>10</v>
      </c>
      <c r="D110" t="s">
        <v>69</v>
      </c>
      <c r="E110" t="s">
        <v>29</v>
      </c>
      <c r="F110" t="s">
        <v>26</v>
      </c>
      <c r="G110" s="2">
        <v>1300</v>
      </c>
      <c r="H110">
        <f>YEAR(tblServicios[[#This Row],[Fecha]])</f>
        <v>2024</v>
      </c>
      <c r="I110">
        <f>MONTH(tblServicios[[#This Row],[Fecha]])</f>
        <v>10</v>
      </c>
    </row>
    <row r="111" spans="1:9" x14ac:dyDescent="0.25">
      <c r="A111" t="s">
        <v>142</v>
      </c>
      <c r="B111" s="1">
        <v>45585</v>
      </c>
      <c r="C111" t="s">
        <v>15</v>
      </c>
      <c r="D111" t="s">
        <v>25</v>
      </c>
      <c r="E111" t="s">
        <v>17</v>
      </c>
      <c r="F111" t="s">
        <v>18</v>
      </c>
      <c r="G111" s="2">
        <v>65100</v>
      </c>
      <c r="H111">
        <f>YEAR(tblServicios[[#This Row],[Fecha]])</f>
        <v>2024</v>
      </c>
      <c r="I111">
        <f>MONTH(tblServicios[[#This Row],[Fecha]])</f>
        <v>10</v>
      </c>
    </row>
    <row r="112" spans="1:9" x14ac:dyDescent="0.25">
      <c r="A112" t="s">
        <v>143</v>
      </c>
      <c r="B112" s="1">
        <v>45586</v>
      </c>
      <c r="C112" t="s">
        <v>10</v>
      </c>
      <c r="D112" t="s">
        <v>33</v>
      </c>
      <c r="E112" t="s">
        <v>29</v>
      </c>
      <c r="F112" t="s">
        <v>18</v>
      </c>
      <c r="G112" s="2">
        <v>2800</v>
      </c>
      <c r="H112">
        <f>YEAR(tblServicios[[#This Row],[Fecha]])</f>
        <v>2024</v>
      </c>
      <c r="I112">
        <f>MONTH(tblServicios[[#This Row],[Fecha]])</f>
        <v>10</v>
      </c>
    </row>
    <row r="113" spans="1:9" x14ac:dyDescent="0.25">
      <c r="A113" t="s">
        <v>144</v>
      </c>
      <c r="B113" s="1">
        <v>45586</v>
      </c>
      <c r="C113" t="s">
        <v>15</v>
      </c>
      <c r="D113" t="s">
        <v>33</v>
      </c>
      <c r="E113" t="s">
        <v>29</v>
      </c>
      <c r="F113" t="s">
        <v>48</v>
      </c>
      <c r="G113" s="2">
        <v>3050</v>
      </c>
      <c r="H113">
        <f>YEAR(tblServicios[[#This Row],[Fecha]])</f>
        <v>2024</v>
      </c>
      <c r="I113">
        <f>MONTH(tblServicios[[#This Row],[Fecha]])</f>
        <v>10</v>
      </c>
    </row>
    <row r="114" spans="1:9" x14ac:dyDescent="0.25">
      <c r="A114" t="s">
        <v>145</v>
      </c>
      <c r="B114" s="1">
        <v>45586</v>
      </c>
      <c r="C114" t="s">
        <v>15</v>
      </c>
      <c r="D114" t="s">
        <v>16</v>
      </c>
      <c r="E114" t="s">
        <v>35</v>
      </c>
      <c r="F114" t="s">
        <v>30</v>
      </c>
      <c r="G114" s="2">
        <v>6550</v>
      </c>
      <c r="H114">
        <f>YEAR(tblServicios[[#This Row],[Fecha]])</f>
        <v>2024</v>
      </c>
      <c r="I114">
        <f>MONTH(tblServicios[[#This Row],[Fecha]])</f>
        <v>10</v>
      </c>
    </row>
    <row r="115" spans="1:9" x14ac:dyDescent="0.25">
      <c r="A115" t="s">
        <v>146</v>
      </c>
      <c r="B115" s="1">
        <v>45590</v>
      </c>
      <c r="C115" t="s">
        <v>10</v>
      </c>
      <c r="D115" t="s">
        <v>25</v>
      </c>
      <c r="E115" t="s">
        <v>17</v>
      </c>
      <c r="F115" t="s">
        <v>18</v>
      </c>
      <c r="G115" s="2">
        <v>132500</v>
      </c>
      <c r="H115">
        <f>YEAR(tblServicios[[#This Row],[Fecha]])</f>
        <v>2024</v>
      </c>
      <c r="I115">
        <f>MONTH(tblServicios[[#This Row],[Fecha]])</f>
        <v>10</v>
      </c>
    </row>
    <row r="116" spans="1:9" x14ac:dyDescent="0.25">
      <c r="A116" t="s">
        <v>147</v>
      </c>
      <c r="B116" s="1">
        <v>45590</v>
      </c>
      <c r="C116" t="s">
        <v>47</v>
      </c>
      <c r="D116" t="s">
        <v>28</v>
      </c>
      <c r="E116" t="s">
        <v>29</v>
      </c>
      <c r="F116" t="s">
        <v>45</v>
      </c>
      <c r="G116" s="2">
        <v>1550</v>
      </c>
      <c r="H116">
        <f>YEAR(tblServicios[[#This Row],[Fecha]])</f>
        <v>2024</v>
      </c>
      <c r="I116">
        <f>MONTH(tblServicios[[#This Row],[Fecha]])</f>
        <v>10</v>
      </c>
    </row>
    <row r="117" spans="1:9" x14ac:dyDescent="0.25">
      <c r="A117" t="s">
        <v>148</v>
      </c>
      <c r="B117" s="1">
        <v>45592</v>
      </c>
      <c r="C117" t="s">
        <v>15</v>
      </c>
      <c r="D117" t="s">
        <v>11</v>
      </c>
      <c r="E117" t="s">
        <v>12</v>
      </c>
      <c r="F117" t="s">
        <v>26</v>
      </c>
      <c r="G117" s="2">
        <v>4350</v>
      </c>
      <c r="H117">
        <f>YEAR(tblServicios[[#This Row],[Fecha]])</f>
        <v>2024</v>
      </c>
      <c r="I117">
        <f>MONTH(tblServicios[[#This Row],[Fecha]])</f>
        <v>10</v>
      </c>
    </row>
    <row r="118" spans="1:9" x14ac:dyDescent="0.25">
      <c r="A118" t="s">
        <v>149</v>
      </c>
      <c r="B118" s="1">
        <v>45595</v>
      </c>
      <c r="C118" t="s">
        <v>47</v>
      </c>
      <c r="D118" t="s">
        <v>21</v>
      </c>
      <c r="E118" t="s">
        <v>12</v>
      </c>
      <c r="F118" t="s">
        <v>48</v>
      </c>
      <c r="G118" s="2">
        <v>4400</v>
      </c>
      <c r="H118">
        <f>YEAR(tblServicios[[#This Row],[Fecha]])</f>
        <v>2024</v>
      </c>
      <c r="I118">
        <f>MONTH(tblServicios[[#This Row],[Fecha]])</f>
        <v>10</v>
      </c>
    </row>
    <row r="119" spans="1:9" x14ac:dyDescent="0.25">
      <c r="A119" t="s">
        <v>150</v>
      </c>
      <c r="B119" s="1">
        <v>45597</v>
      </c>
      <c r="C119" t="s">
        <v>15</v>
      </c>
      <c r="D119" t="s">
        <v>25</v>
      </c>
      <c r="E119" t="s">
        <v>35</v>
      </c>
      <c r="F119" t="s">
        <v>13</v>
      </c>
      <c r="G119" s="2">
        <v>12000</v>
      </c>
      <c r="H119">
        <f>YEAR(tblServicios[[#This Row],[Fecha]])</f>
        <v>2024</v>
      </c>
      <c r="I119">
        <f>MONTH(tblServicios[[#This Row],[Fecha]])</f>
        <v>11</v>
      </c>
    </row>
    <row r="120" spans="1:9" x14ac:dyDescent="0.25">
      <c r="A120" t="s">
        <v>151</v>
      </c>
      <c r="B120" s="1">
        <v>45598</v>
      </c>
      <c r="C120" t="s">
        <v>15</v>
      </c>
      <c r="D120" t="s">
        <v>28</v>
      </c>
      <c r="E120" t="s">
        <v>29</v>
      </c>
      <c r="F120" t="s">
        <v>26</v>
      </c>
      <c r="G120" s="2">
        <v>1000</v>
      </c>
      <c r="H120">
        <f>YEAR(tblServicios[[#This Row],[Fecha]])</f>
        <v>2024</v>
      </c>
      <c r="I120">
        <f>MONTH(tblServicios[[#This Row],[Fecha]])</f>
        <v>11</v>
      </c>
    </row>
    <row r="121" spans="1:9" x14ac:dyDescent="0.25">
      <c r="A121" t="s">
        <v>152</v>
      </c>
      <c r="B121" s="1">
        <v>45599</v>
      </c>
      <c r="C121" t="s">
        <v>10</v>
      </c>
      <c r="D121" t="s">
        <v>28</v>
      </c>
      <c r="E121" t="s">
        <v>12</v>
      </c>
      <c r="F121" t="s">
        <v>13</v>
      </c>
      <c r="G121" s="2">
        <v>3150</v>
      </c>
      <c r="H121">
        <f>YEAR(tblServicios[[#This Row],[Fecha]])</f>
        <v>2024</v>
      </c>
      <c r="I121">
        <f>MONTH(tblServicios[[#This Row],[Fecha]])</f>
        <v>11</v>
      </c>
    </row>
    <row r="122" spans="1:9" x14ac:dyDescent="0.25">
      <c r="A122" t="s">
        <v>153</v>
      </c>
      <c r="B122" s="1">
        <v>45601</v>
      </c>
      <c r="C122" t="s">
        <v>24</v>
      </c>
      <c r="D122" t="s">
        <v>11</v>
      </c>
      <c r="E122" t="s">
        <v>12</v>
      </c>
      <c r="F122" t="s">
        <v>45</v>
      </c>
      <c r="G122" s="2">
        <v>3100</v>
      </c>
      <c r="H122">
        <f>YEAR(tblServicios[[#This Row],[Fecha]])</f>
        <v>2024</v>
      </c>
      <c r="I122">
        <f>MONTH(tblServicios[[#This Row],[Fecha]])</f>
        <v>11</v>
      </c>
    </row>
    <row r="123" spans="1:9" x14ac:dyDescent="0.25">
      <c r="A123" t="s">
        <v>154</v>
      </c>
      <c r="B123" s="1">
        <v>45602</v>
      </c>
      <c r="C123" t="s">
        <v>24</v>
      </c>
      <c r="D123" t="s">
        <v>33</v>
      </c>
      <c r="E123" t="s">
        <v>29</v>
      </c>
      <c r="F123" t="s">
        <v>48</v>
      </c>
      <c r="G123" s="2">
        <v>1050</v>
      </c>
      <c r="H123">
        <f>YEAR(tblServicios[[#This Row],[Fecha]])</f>
        <v>2024</v>
      </c>
      <c r="I123">
        <f>MONTH(tblServicios[[#This Row],[Fecha]])</f>
        <v>11</v>
      </c>
    </row>
    <row r="124" spans="1:9" x14ac:dyDescent="0.25">
      <c r="A124" t="s">
        <v>155</v>
      </c>
      <c r="B124" s="1">
        <v>45603</v>
      </c>
      <c r="C124" t="s">
        <v>24</v>
      </c>
      <c r="D124" t="s">
        <v>28</v>
      </c>
      <c r="E124" t="s">
        <v>29</v>
      </c>
      <c r="F124" t="s">
        <v>45</v>
      </c>
      <c r="G124" s="2">
        <v>1950</v>
      </c>
      <c r="H124">
        <f>YEAR(tblServicios[[#This Row],[Fecha]])</f>
        <v>2024</v>
      </c>
      <c r="I124">
        <f>MONTH(tblServicios[[#This Row],[Fecha]])</f>
        <v>11</v>
      </c>
    </row>
    <row r="125" spans="1:9" x14ac:dyDescent="0.25">
      <c r="A125" t="s">
        <v>156</v>
      </c>
      <c r="B125" s="1">
        <v>45609</v>
      </c>
      <c r="C125" t="s">
        <v>15</v>
      </c>
      <c r="D125" t="s">
        <v>11</v>
      </c>
      <c r="E125" t="s">
        <v>12</v>
      </c>
      <c r="F125" t="s">
        <v>48</v>
      </c>
      <c r="G125" s="2">
        <v>3250</v>
      </c>
      <c r="H125">
        <f>YEAR(tblServicios[[#This Row],[Fecha]])</f>
        <v>2024</v>
      </c>
      <c r="I125">
        <f>MONTH(tblServicios[[#This Row],[Fecha]])</f>
        <v>11</v>
      </c>
    </row>
    <row r="126" spans="1:9" x14ac:dyDescent="0.25">
      <c r="A126" t="s">
        <v>157</v>
      </c>
      <c r="B126" s="1">
        <v>45610</v>
      </c>
      <c r="C126" t="s">
        <v>47</v>
      </c>
      <c r="D126" t="s">
        <v>69</v>
      </c>
      <c r="E126" t="s">
        <v>29</v>
      </c>
      <c r="F126" t="s">
        <v>26</v>
      </c>
      <c r="G126" s="2">
        <v>1250</v>
      </c>
      <c r="H126">
        <f>YEAR(tblServicios[[#This Row],[Fecha]])</f>
        <v>2024</v>
      </c>
      <c r="I126">
        <f>MONTH(tblServicios[[#This Row],[Fecha]])</f>
        <v>11</v>
      </c>
    </row>
    <row r="127" spans="1:9" x14ac:dyDescent="0.25">
      <c r="A127" t="s">
        <v>158</v>
      </c>
      <c r="B127" s="1">
        <v>45613</v>
      </c>
      <c r="C127" t="s">
        <v>20</v>
      </c>
      <c r="D127" t="s">
        <v>69</v>
      </c>
      <c r="E127" t="s">
        <v>29</v>
      </c>
      <c r="F127" t="s">
        <v>18</v>
      </c>
      <c r="G127" s="2">
        <v>2650</v>
      </c>
      <c r="H127">
        <f>YEAR(tblServicios[[#This Row],[Fecha]])</f>
        <v>2024</v>
      </c>
      <c r="I127">
        <f>MONTH(tblServicios[[#This Row],[Fecha]])</f>
        <v>11</v>
      </c>
    </row>
    <row r="128" spans="1:9" x14ac:dyDescent="0.25">
      <c r="A128" t="s">
        <v>159</v>
      </c>
      <c r="B128" s="1">
        <v>45613</v>
      </c>
      <c r="C128" t="s">
        <v>15</v>
      </c>
      <c r="D128" t="s">
        <v>25</v>
      </c>
      <c r="E128" t="s">
        <v>35</v>
      </c>
      <c r="F128" t="s">
        <v>45</v>
      </c>
      <c r="G128" s="2">
        <v>6150</v>
      </c>
      <c r="H128">
        <f>YEAR(tblServicios[[#This Row],[Fecha]])</f>
        <v>2024</v>
      </c>
      <c r="I128">
        <f>MONTH(tblServicios[[#This Row],[Fecha]])</f>
        <v>11</v>
      </c>
    </row>
    <row r="129" spans="1:9" x14ac:dyDescent="0.25">
      <c r="A129" t="s">
        <v>160</v>
      </c>
      <c r="B129" s="1">
        <v>45614</v>
      </c>
      <c r="C129" t="s">
        <v>20</v>
      </c>
      <c r="D129" t="s">
        <v>11</v>
      </c>
      <c r="E129" t="s">
        <v>12</v>
      </c>
      <c r="F129" t="s">
        <v>45</v>
      </c>
      <c r="G129" s="2">
        <v>2600</v>
      </c>
      <c r="H129">
        <f>YEAR(tblServicios[[#This Row],[Fecha]])</f>
        <v>2024</v>
      </c>
      <c r="I129">
        <f>MONTH(tblServicios[[#This Row],[Fecha]])</f>
        <v>11</v>
      </c>
    </row>
    <row r="130" spans="1:9" x14ac:dyDescent="0.25">
      <c r="A130" t="s">
        <v>161</v>
      </c>
      <c r="B130" s="1">
        <v>45615</v>
      </c>
      <c r="C130" t="s">
        <v>20</v>
      </c>
      <c r="D130" t="s">
        <v>11</v>
      </c>
      <c r="E130" t="s">
        <v>12</v>
      </c>
      <c r="F130" t="s">
        <v>18</v>
      </c>
      <c r="G130" s="2">
        <v>4000</v>
      </c>
      <c r="H130">
        <f>YEAR(tblServicios[[#This Row],[Fecha]])</f>
        <v>2024</v>
      </c>
      <c r="I130">
        <f>MONTH(tblServicios[[#This Row],[Fecha]])</f>
        <v>11</v>
      </c>
    </row>
    <row r="131" spans="1:9" x14ac:dyDescent="0.25">
      <c r="A131" t="s">
        <v>162</v>
      </c>
      <c r="B131" s="1">
        <v>45621</v>
      </c>
      <c r="C131" t="s">
        <v>24</v>
      </c>
      <c r="D131" t="s">
        <v>25</v>
      </c>
      <c r="E131" t="s">
        <v>35</v>
      </c>
      <c r="F131" t="s">
        <v>18</v>
      </c>
      <c r="G131" s="2">
        <v>18400</v>
      </c>
      <c r="H131">
        <f>YEAR(tblServicios[[#This Row],[Fecha]])</f>
        <v>2024</v>
      </c>
      <c r="I131">
        <f>MONTH(tblServicios[[#This Row],[Fecha]])</f>
        <v>11</v>
      </c>
    </row>
    <row r="132" spans="1:9" x14ac:dyDescent="0.25">
      <c r="A132" t="s">
        <v>163</v>
      </c>
      <c r="B132" s="1">
        <v>45624</v>
      </c>
      <c r="C132" t="s">
        <v>10</v>
      </c>
      <c r="D132" t="s">
        <v>25</v>
      </c>
      <c r="E132" t="s">
        <v>17</v>
      </c>
      <c r="F132" t="s">
        <v>13</v>
      </c>
      <c r="G132" s="2">
        <v>163450</v>
      </c>
      <c r="H132">
        <f>YEAR(tblServicios[[#This Row],[Fecha]])</f>
        <v>2024</v>
      </c>
      <c r="I132">
        <f>MONTH(tblServicios[[#This Row],[Fecha]])</f>
        <v>11</v>
      </c>
    </row>
    <row r="133" spans="1:9" x14ac:dyDescent="0.25">
      <c r="A133" t="s">
        <v>164</v>
      </c>
      <c r="B133" s="1">
        <v>45624</v>
      </c>
      <c r="C133" t="s">
        <v>15</v>
      </c>
      <c r="D133" t="s">
        <v>25</v>
      </c>
      <c r="E133" t="s">
        <v>17</v>
      </c>
      <c r="F133" t="s">
        <v>18</v>
      </c>
      <c r="G133" s="2">
        <v>56300</v>
      </c>
      <c r="H133">
        <f>YEAR(tblServicios[[#This Row],[Fecha]])</f>
        <v>2024</v>
      </c>
      <c r="I133">
        <f>MONTH(tblServicios[[#This Row],[Fecha]])</f>
        <v>11</v>
      </c>
    </row>
    <row r="134" spans="1:9" x14ac:dyDescent="0.25">
      <c r="A134" t="s">
        <v>165</v>
      </c>
      <c r="B134" s="1">
        <v>45625</v>
      </c>
      <c r="C134" t="s">
        <v>24</v>
      </c>
      <c r="D134" t="s">
        <v>11</v>
      </c>
      <c r="E134" t="s">
        <v>12</v>
      </c>
      <c r="F134" t="s">
        <v>13</v>
      </c>
      <c r="G134" s="2">
        <v>3050</v>
      </c>
      <c r="H134">
        <f>YEAR(tblServicios[[#This Row],[Fecha]])</f>
        <v>2024</v>
      </c>
      <c r="I134">
        <f>MONTH(tblServicios[[#This Row],[Fecha]])</f>
        <v>11</v>
      </c>
    </row>
    <row r="135" spans="1:9" x14ac:dyDescent="0.25">
      <c r="A135" t="s">
        <v>166</v>
      </c>
      <c r="B135" s="1">
        <v>45627</v>
      </c>
      <c r="C135" t="s">
        <v>47</v>
      </c>
      <c r="D135" t="s">
        <v>28</v>
      </c>
      <c r="E135" t="s">
        <v>12</v>
      </c>
      <c r="F135" t="s">
        <v>48</v>
      </c>
      <c r="G135" s="2">
        <v>5950</v>
      </c>
      <c r="H135">
        <f>YEAR(tblServicios[[#This Row],[Fecha]])</f>
        <v>2024</v>
      </c>
      <c r="I135">
        <f>MONTH(tblServicios[[#This Row],[Fecha]])</f>
        <v>12</v>
      </c>
    </row>
    <row r="136" spans="1:9" x14ac:dyDescent="0.25">
      <c r="A136" t="s">
        <v>167</v>
      </c>
      <c r="B136" s="1">
        <v>45628</v>
      </c>
      <c r="C136" t="s">
        <v>15</v>
      </c>
      <c r="D136" t="s">
        <v>39</v>
      </c>
      <c r="E136" t="s">
        <v>35</v>
      </c>
      <c r="F136" t="s">
        <v>26</v>
      </c>
      <c r="G136" s="2">
        <v>15350</v>
      </c>
      <c r="H136">
        <f>YEAR(tblServicios[[#This Row],[Fecha]])</f>
        <v>2024</v>
      </c>
      <c r="I136">
        <f>MONTH(tblServicios[[#This Row],[Fecha]])</f>
        <v>12</v>
      </c>
    </row>
    <row r="137" spans="1:9" x14ac:dyDescent="0.25">
      <c r="A137" t="s">
        <v>168</v>
      </c>
      <c r="B137" s="1">
        <v>45629</v>
      </c>
      <c r="C137" t="s">
        <v>10</v>
      </c>
      <c r="D137" t="s">
        <v>39</v>
      </c>
      <c r="E137" t="s">
        <v>35</v>
      </c>
      <c r="F137" t="s">
        <v>13</v>
      </c>
      <c r="G137" s="2">
        <v>6550</v>
      </c>
      <c r="H137">
        <f>YEAR(tblServicios[[#This Row],[Fecha]])</f>
        <v>2024</v>
      </c>
      <c r="I137">
        <f>MONTH(tblServicios[[#This Row],[Fecha]])</f>
        <v>12</v>
      </c>
    </row>
    <row r="138" spans="1:9" x14ac:dyDescent="0.25">
      <c r="A138" t="s">
        <v>169</v>
      </c>
      <c r="B138" s="1">
        <v>45629</v>
      </c>
      <c r="C138" t="s">
        <v>10</v>
      </c>
      <c r="D138" t="s">
        <v>25</v>
      </c>
      <c r="E138" t="s">
        <v>35</v>
      </c>
      <c r="F138" t="s">
        <v>48</v>
      </c>
      <c r="G138" s="2">
        <v>10950</v>
      </c>
      <c r="H138">
        <f>YEAR(tblServicios[[#This Row],[Fecha]])</f>
        <v>2024</v>
      </c>
      <c r="I138">
        <f>MONTH(tblServicios[[#This Row],[Fecha]])</f>
        <v>12</v>
      </c>
    </row>
    <row r="139" spans="1:9" x14ac:dyDescent="0.25">
      <c r="A139" t="s">
        <v>170</v>
      </c>
      <c r="B139" s="1">
        <v>45629</v>
      </c>
      <c r="C139" t="s">
        <v>20</v>
      </c>
      <c r="D139" t="s">
        <v>33</v>
      </c>
      <c r="E139" t="s">
        <v>29</v>
      </c>
      <c r="F139" t="s">
        <v>13</v>
      </c>
      <c r="G139" s="2">
        <v>2500</v>
      </c>
      <c r="H139">
        <f>YEAR(tblServicios[[#This Row],[Fecha]])</f>
        <v>2024</v>
      </c>
      <c r="I139">
        <f>MONTH(tblServicios[[#This Row],[Fecha]])</f>
        <v>12</v>
      </c>
    </row>
    <row r="140" spans="1:9" x14ac:dyDescent="0.25">
      <c r="A140" t="s">
        <v>171</v>
      </c>
      <c r="B140" s="1">
        <v>45630</v>
      </c>
      <c r="C140" t="s">
        <v>20</v>
      </c>
      <c r="D140" t="s">
        <v>21</v>
      </c>
      <c r="E140" t="s">
        <v>12</v>
      </c>
      <c r="F140" t="s">
        <v>45</v>
      </c>
      <c r="G140" s="2">
        <v>5150</v>
      </c>
      <c r="H140">
        <f>YEAR(tblServicios[[#This Row],[Fecha]])</f>
        <v>2024</v>
      </c>
      <c r="I140">
        <f>MONTH(tblServicios[[#This Row],[Fecha]])</f>
        <v>12</v>
      </c>
    </row>
    <row r="141" spans="1:9" x14ac:dyDescent="0.25">
      <c r="A141" t="s">
        <v>172</v>
      </c>
      <c r="B141" s="1">
        <v>45636</v>
      </c>
      <c r="C141" t="s">
        <v>15</v>
      </c>
      <c r="D141" t="s">
        <v>28</v>
      </c>
      <c r="E141" t="s">
        <v>29</v>
      </c>
      <c r="F141" t="s">
        <v>18</v>
      </c>
      <c r="G141" s="2">
        <v>1350</v>
      </c>
      <c r="H141">
        <f>YEAR(tblServicios[[#This Row],[Fecha]])</f>
        <v>2024</v>
      </c>
      <c r="I141">
        <f>MONTH(tblServicios[[#This Row],[Fecha]])</f>
        <v>12</v>
      </c>
    </row>
    <row r="142" spans="1:9" x14ac:dyDescent="0.25">
      <c r="A142" t="s">
        <v>173</v>
      </c>
      <c r="B142" s="1">
        <v>45639</v>
      </c>
      <c r="C142" t="s">
        <v>20</v>
      </c>
      <c r="D142" t="s">
        <v>25</v>
      </c>
      <c r="E142" t="s">
        <v>35</v>
      </c>
      <c r="F142" t="s">
        <v>30</v>
      </c>
      <c r="G142" s="2">
        <v>12800</v>
      </c>
      <c r="H142">
        <f>YEAR(tblServicios[[#This Row],[Fecha]])</f>
        <v>2024</v>
      </c>
      <c r="I142">
        <f>MONTH(tblServicios[[#This Row],[Fecha]])</f>
        <v>12</v>
      </c>
    </row>
    <row r="143" spans="1:9" x14ac:dyDescent="0.25">
      <c r="A143" t="s">
        <v>174</v>
      </c>
      <c r="B143" s="1">
        <v>45640</v>
      </c>
      <c r="C143" t="s">
        <v>15</v>
      </c>
      <c r="D143" t="s">
        <v>39</v>
      </c>
      <c r="E143" t="s">
        <v>29</v>
      </c>
      <c r="F143" t="s">
        <v>18</v>
      </c>
      <c r="G143" s="2">
        <v>2350</v>
      </c>
      <c r="H143">
        <f>YEAR(tblServicios[[#This Row],[Fecha]])</f>
        <v>2024</v>
      </c>
      <c r="I143">
        <f>MONTH(tblServicios[[#This Row],[Fecha]])</f>
        <v>12</v>
      </c>
    </row>
    <row r="144" spans="1:9" x14ac:dyDescent="0.25">
      <c r="A144" t="s">
        <v>175</v>
      </c>
      <c r="B144" s="1">
        <v>45642</v>
      </c>
      <c r="C144" t="s">
        <v>20</v>
      </c>
      <c r="D144" t="s">
        <v>11</v>
      </c>
      <c r="E144" t="s">
        <v>12</v>
      </c>
      <c r="F144" t="s">
        <v>30</v>
      </c>
      <c r="G144" s="2">
        <v>5050</v>
      </c>
      <c r="H144">
        <f>YEAR(tblServicios[[#This Row],[Fecha]])</f>
        <v>2024</v>
      </c>
      <c r="I144">
        <f>MONTH(tblServicios[[#This Row],[Fecha]])</f>
        <v>12</v>
      </c>
    </row>
    <row r="145" spans="1:9" x14ac:dyDescent="0.25">
      <c r="A145" t="s">
        <v>176</v>
      </c>
      <c r="B145" s="1">
        <v>45647</v>
      </c>
      <c r="C145" t="s">
        <v>24</v>
      </c>
      <c r="D145" t="s">
        <v>25</v>
      </c>
      <c r="E145" t="s">
        <v>35</v>
      </c>
      <c r="F145" t="s">
        <v>45</v>
      </c>
      <c r="G145" s="2">
        <v>14350</v>
      </c>
      <c r="H145">
        <f>YEAR(tblServicios[[#This Row],[Fecha]])</f>
        <v>2024</v>
      </c>
      <c r="I145">
        <f>MONTH(tblServicios[[#This Row],[Fecha]])</f>
        <v>12</v>
      </c>
    </row>
    <row r="146" spans="1:9" x14ac:dyDescent="0.25">
      <c r="A146" t="s">
        <v>177</v>
      </c>
      <c r="B146" s="1">
        <v>45649</v>
      </c>
      <c r="C146" t="s">
        <v>15</v>
      </c>
      <c r="D146" t="s">
        <v>69</v>
      </c>
      <c r="E146" t="s">
        <v>29</v>
      </c>
      <c r="F146" t="s">
        <v>18</v>
      </c>
      <c r="G146" s="2">
        <v>1100</v>
      </c>
      <c r="H146">
        <f>YEAR(tblServicios[[#This Row],[Fecha]])</f>
        <v>2024</v>
      </c>
      <c r="I146">
        <f>MONTH(tblServicios[[#This Row],[Fecha]])</f>
        <v>12</v>
      </c>
    </row>
    <row r="147" spans="1:9" x14ac:dyDescent="0.25">
      <c r="A147" t="s">
        <v>178</v>
      </c>
      <c r="B147" s="1">
        <v>45651</v>
      </c>
      <c r="C147" t="s">
        <v>20</v>
      </c>
      <c r="D147" t="s">
        <v>25</v>
      </c>
      <c r="E147" t="s">
        <v>35</v>
      </c>
      <c r="F147" t="s">
        <v>18</v>
      </c>
      <c r="G147" s="2">
        <v>8250</v>
      </c>
      <c r="H147">
        <f>YEAR(tblServicios[[#This Row],[Fecha]])</f>
        <v>2024</v>
      </c>
      <c r="I147">
        <f>MONTH(tblServicios[[#This Row],[Fecha]])</f>
        <v>12</v>
      </c>
    </row>
    <row r="148" spans="1:9" x14ac:dyDescent="0.25">
      <c r="A148" t="s">
        <v>179</v>
      </c>
      <c r="B148" s="1">
        <v>45652</v>
      </c>
      <c r="C148" t="s">
        <v>47</v>
      </c>
      <c r="D148" t="s">
        <v>11</v>
      </c>
      <c r="E148" t="s">
        <v>12</v>
      </c>
      <c r="F148" t="s">
        <v>48</v>
      </c>
      <c r="G148" s="2">
        <v>5100</v>
      </c>
      <c r="H148">
        <f>YEAR(tblServicios[[#This Row],[Fecha]])</f>
        <v>2024</v>
      </c>
      <c r="I148">
        <f>MONTH(tblServicios[[#This Row],[Fecha]])</f>
        <v>12</v>
      </c>
    </row>
    <row r="149" spans="1:9" x14ac:dyDescent="0.25">
      <c r="A149" t="s">
        <v>180</v>
      </c>
      <c r="B149" s="1">
        <v>45655</v>
      </c>
      <c r="C149" t="s">
        <v>24</v>
      </c>
      <c r="D149" t="s">
        <v>11</v>
      </c>
      <c r="E149" t="s">
        <v>12</v>
      </c>
      <c r="F149" t="s">
        <v>26</v>
      </c>
      <c r="G149" s="2">
        <v>4000</v>
      </c>
      <c r="H149">
        <f>YEAR(tblServicios[[#This Row],[Fecha]])</f>
        <v>2024</v>
      </c>
      <c r="I149">
        <f>MONTH(tblServicios[[#This Row],[Fecha]])</f>
        <v>12</v>
      </c>
    </row>
    <row r="150" spans="1:9" x14ac:dyDescent="0.25">
      <c r="A150" t="s">
        <v>181</v>
      </c>
      <c r="B150" s="1">
        <v>45655</v>
      </c>
      <c r="C150" t="s">
        <v>24</v>
      </c>
      <c r="D150" t="s">
        <v>11</v>
      </c>
      <c r="E150" t="s">
        <v>12</v>
      </c>
      <c r="F150" t="s">
        <v>13</v>
      </c>
      <c r="G150" s="2">
        <v>4350</v>
      </c>
      <c r="H150">
        <f>YEAR(tblServicios[[#This Row],[Fecha]])</f>
        <v>2024</v>
      </c>
      <c r="I150">
        <f>MONTH(tblServicios[[#This Row],[Fecha]])</f>
        <v>12</v>
      </c>
    </row>
    <row r="151" spans="1:9" x14ac:dyDescent="0.25">
      <c r="A151" t="s">
        <v>182</v>
      </c>
      <c r="B151" s="1">
        <v>45656</v>
      </c>
      <c r="C151" t="s">
        <v>15</v>
      </c>
      <c r="D151" t="s">
        <v>16</v>
      </c>
      <c r="E151" t="s">
        <v>35</v>
      </c>
      <c r="F151" t="s">
        <v>18</v>
      </c>
      <c r="G151" s="2">
        <v>6900</v>
      </c>
      <c r="H151">
        <f>YEAR(tblServicios[[#This Row],[Fecha]])</f>
        <v>2024</v>
      </c>
      <c r="I151">
        <f>MONTH(tblServicios[[#This Row],[Fecha]])</f>
        <v>12</v>
      </c>
    </row>
    <row r="152" spans="1:9" x14ac:dyDescent="0.25">
      <c r="A152" t="s">
        <v>183</v>
      </c>
      <c r="B152" s="1">
        <v>45660</v>
      </c>
      <c r="C152" t="s">
        <v>24</v>
      </c>
      <c r="D152" t="s">
        <v>33</v>
      </c>
      <c r="E152" t="s">
        <v>29</v>
      </c>
      <c r="F152" t="s">
        <v>13</v>
      </c>
      <c r="G152" s="2">
        <v>1850</v>
      </c>
      <c r="H152">
        <f>YEAR(tblServicios[[#This Row],[Fecha]])</f>
        <v>2025</v>
      </c>
      <c r="I152">
        <f>MONTH(tblServicios[[#This Row],[Fecha]])</f>
        <v>1</v>
      </c>
    </row>
    <row r="153" spans="1:9" x14ac:dyDescent="0.25">
      <c r="A153" t="s">
        <v>184</v>
      </c>
      <c r="B153" s="1">
        <v>45661</v>
      </c>
      <c r="C153" t="s">
        <v>10</v>
      </c>
      <c r="D153" t="s">
        <v>11</v>
      </c>
      <c r="E153" t="s">
        <v>12</v>
      </c>
      <c r="F153" t="s">
        <v>30</v>
      </c>
      <c r="G153" s="2">
        <v>2850</v>
      </c>
      <c r="H153">
        <f>YEAR(tblServicios[[#This Row],[Fecha]])</f>
        <v>2025</v>
      </c>
      <c r="I153">
        <f>MONTH(tblServicios[[#This Row],[Fecha]])</f>
        <v>1</v>
      </c>
    </row>
    <row r="154" spans="1:9" x14ac:dyDescent="0.25">
      <c r="A154" t="s">
        <v>185</v>
      </c>
      <c r="B154" s="1">
        <v>45666</v>
      </c>
      <c r="C154" t="s">
        <v>47</v>
      </c>
      <c r="D154" t="s">
        <v>21</v>
      </c>
      <c r="E154" t="s">
        <v>22</v>
      </c>
      <c r="F154" t="s">
        <v>13</v>
      </c>
      <c r="G154" s="2">
        <v>14250</v>
      </c>
      <c r="H154">
        <f>YEAR(tblServicios[[#This Row],[Fecha]])</f>
        <v>2025</v>
      </c>
      <c r="I154">
        <f>MONTH(tblServicios[[#This Row],[Fecha]])</f>
        <v>1</v>
      </c>
    </row>
    <row r="155" spans="1:9" x14ac:dyDescent="0.25">
      <c r="A155" t="s">
        <v>186</v>
      </c>
      <c r="B155" s="1">
        <v>45668</v>
      </c>
      <c r="C155" t="s">
        <v>15</v>
      </c>
      <c r="D155" t="s">
        <v>69</v>
      </c>
      <c r="E155" t="s">
        <v>29</v>
      </c>
      <c r="F155" t="s">
        <v>18</v>
      </c>
      <c r="G155" s="2">
        <v>1950</v>
      </c>
      <c r="H155">
        <f>YEAR(tblServicios[[#This Row],[Fecha]])</f>
        <v>2025</v>
      </c>
      <c r="I155">
        <f>MONTH(tblServicios[[#This Row],[Fecha]])</f>
        <v>1</v>
      </c>
    </row>
    <row r="156" spans="1:9" x14ac:dyDescent="0.25">
      <c r="A156" t="s">
        <v>187</v>
      </c>
      <c r="B156" s="1">
        <v>45669</v>
      </c>
      <c r="C156" t="s">
        <v>15</v>
      </c>
      <c r="D156" t="s">
        <v>16</v>
      </c>
      <c r="E156" t="s">
        <v>35</v>
      </c>
      <c r="F156" t="s">
        <v>30</v>
      </c>
      <c r="G156" s="2">
        <v>13000</v>
      </c>
      <c r="H156">
        <f>YEAR(tblServicios[[#This Row],[Fecha]])</f>
        <v>2025</v>
      </c>
      <c r="I156">
        <f>MONTH(tblServicios[[#This Row],[Fecha]])</f>
        <v>1</v>
      </c>
    </row>
    <row r="157" spans="1:9" x14ac:dyDescent="0.25">
      <c r="A157" t="s">
        <v>188</v>
      </c>
      <c r="B157" s="1">
        <v>45673</v>
      </c>
      <c r="C157" t="s">
        <v>20</v>
      </c>
      <c r="D157" t="s">
        <v>16</v>
      </c>
      <c r="E157" t="s">
        <v>22</v>
      </c>
      <c r="F157" t="s">
        <v>18</v>
      </c>
      <c r="G157" s="2">
        <v>9650</v>
      </c>
      <c r="H157">
        <f>YEAR(tblServicios[[#This Row],[Fecha]])</f>
        <v>2025</v>
      </c>
      <c r="I157">
        <f>MONTH(tblServicios[[#This Row],[Fecha]])</f>
        <v>1</v>
      </c>
    </row>
    <row r="158" spans="1:9" x14ac:dyDescent="0.25">
      <c r="A158" t="s">
        <v>189</v>
      </c>
      <c r="B158" s="1">
        <v>45673</v>
      </c>
      <c r="C158" t="s">
        <v>15</v>
      </c>
      <c r="D158" t="s">
        <v>16</v>
      </c>
      <c r="E158" t="s">
        <v>22</v>
      </c>
      <c r="F158" t="s">
        <v>48</v>
      </c>
      <c r="G158" s="2">
        <v>9700</v>
      </c>
      <c r="H158">
        <f>YEAR(tblServicios[[#This Row],[Fecha]])</f>
        <v>2025</v>
      </c>
      <c r="I158">
        <f>MONTH(tblServicios[[#This Row],[Fecha]])</f>
        <v>1</v>
      </c>
    </row>
    <row r="159" spans="1:9" x14ac:dyDescent="0.25">
      <c r="A159" t="s">
        <v>190</v>
      </c>
      <c r="B159" s="1">
        <v>45675</v>
      </c>
      <c r="C159" t="s">
        <v>20</v>
      </c>
      <c r="D159" t="s">
        <v>39</v>
      </c>
      <c r="E159" t="s">
        <v>29</v>
      </c>
      <c r="F159" t="s">
        <v>13</v>
      </c>
      <c r="G159" s="2">
        <v>3500</v>
      </c>
      <c r="H159">
        <f>YEAR(tblServicios[[#This Row],[Fecha]])</f>
        <v>2025</v>
      </c>
      <c r="I159">
        <f>MONTH(tblServicios[[#This Row],[Fecha]])</f>
        <v>1</v>
      </c>
    </row>
    <row r="160" spans="1:9" x14ac:dyDescent="0.25">
      <c r="A160" t="s">
        <v>191</v>
      </c>
      <c r="B160" s="1">
        <v>45675</v>
      </c>
      <c r="C160" t="s">
        <v>10</v>
      </c>
      <c r="D160" t="s">
        <v>33</v>
      </c>
      <c r="E160" t="s">
        <v>22</v>
      </c>
      <c r="F160" t="s">
        <v>30</v>
      </c>
      <c r="G160" s="2">
        <v>9500</v>
      </c>
      <c r="H160">
        <f>YEAR(tblServicios[[#This Row],[Fecha]])</f>
        <v>2025</v>
      </c>
      <c r="I160">
        <f>MONTH(tblServicios[[#This Row],[Fecha]])</f>
        <v>1</v>
      </c>
    </row>
    <row r="161" spans="1:9" x14ac:dyDescent="0.25">
      <c r="A161" t="s">
        <v>192</v>
      </c>
      <c r="B161" s="1">
        <v>45676</v>
      </c>
      <c r="C161" t="s">
        <v>10</v>
      </c>
      <c r="D161" t="s">
        <v>39</v>
      </c>
      <c r="E161" t="s">
        <v>29</v>
      </c>
      <c r="F161" t="s">
        <v>30</v>
      </c>
      <c r="G161" s="2">
        <v>3000</v>
      </c>
      <c r="H161">
        <f>YEAR(tblServicios[[#This Row],[Fecha]])</f>
        <v>2025</v>
      </c>
      <c r="I161">
        <f>MONTH(tblServicios[[#This Row],[Fecha]])</f>
        <v>1</v>
      </c>
    </row>
    <row r="162" spans="1:9" x14ac:dyDescent="0.25">
      <c r="A162" t="s">
        <v>193</v>
      </c>
      <c r="B162" s="1">
        <v>45677</v>
      </c>
      <c r="C162" t="s">
        <v>24</v>
      </c>
      <c r="D162" t="s">
        <v>11</v>
      </c>
      <c r="E162" t="s">
        <v>12</v>
      </c>
      <c r="F162" t="s">
        <v>13</v>
      </c>
      <c r="G162" s="2">
        <v>3350</v>
      </c>
      <c r="H162">
        <f>YEAR(tblServicios[[#This Row],[Fecha]])</f>
        <v>2025</v>
      </c>
      <c r="I162">
        <f>MONTH(tblServicios[[#This Row],[Fecha]])</f>
        <v>1</v>
      </c>
    </row>
    <row r="163" spans="1:9" x14ac:dyDescent="0.25">
      <c r="A163" t="s">
        <v>194</v>
      </c>
      <c r="B163" s="1">
        <v>45683</v>
      </c>
      <c r="C163" t="s">
        <v>15</v>
      </c>
      <c r="D163" t="s">
        <v>25</v>
      </c>
      <c r="E163" t="s">
        <v>35</v>
      </c>
      <c r="F163" t="s">
        <v>18</v>
      </c>
      <c r="G163" s="2">
        <v>18900</v>
      </c>
      <c r="H163">
        <f>YEAR(tblServicios[[#This Row],[Fecha]])</f>
        <v>2025</v>
      </c>
      <c r="I163">
        <f>MONTH(tblServicios[[#This Row],[Fecha]])</f>
        <v>1</v>
      </c>
    </row>
    <row r="164" spans="1:9" x14ac:dyDescent="0.25">
      <c r="A164" t="s">
        <v>195</v>
      </c>
      <c r="B164" s="1">
        <v>45684</v>
      </c>
      <c r="C164" t="s">
        <v>20</v>
      </c>
      <c r="D164" t="s">
        <v>16</v>
      </c>
      <c r="E164" t="s">
        <v>17</v>
      </c>
      <c r="F164" t="s">
        <v>26</v>
      </c>
      <c r="G164" s="2">
        <v>137400</v>
      </c>
      <c r="H164">
        <f>YEAR(tblServicios[[#This Row],[Fecha]])</f>
        <v>2025</v>
      </c>
      <c r="I164">
        <f>MONTH(tblServicios[[#This Row],[Fecha]])</f>
        <v>1</v>
      </c>
    </row>
    <row r="165" spans="1:9" x14ac:dyDescent="0.25">
      <c r="A165" t="s">
        <v>196</v>
      </c>
      <c r="B165" s="1">
        <v>45685</v>
      </c>
      <c r="C165" t="s">
        <v>47</v>
      </c>
      <c r="D165" t="s">
        <v>11</v>
      </c>
      <c r="E165" t="s">
        <v>12</v>
      </c>
      <c r="F165" t="s">
        <v>45</v>
      </c>
      <c r="G165" s="2">
        <v>5800</v>
      </c>
      <c r="H165">
        <f>YEAR(tblServicios[[#This Row],[Fecha]])</f>
        <v>2025</v>
      </c>
      <c r="I165">
        <f>MONTH(tblServicios[[#This Row],[Fecha]])</f>
        <v>1</v>
      </c>
    </row>
    <row r="166" spans="1:9" x14ac:dyDescent="0.25">
      <c r="A166" t="s">
        <v>197</v>
      </c>
      <c r="B166" s="1">
        <v>45688</v>
      </c>
      <c r="C166" t="s">
        <v>15</v>
      </c>
      <c r="D166" t="s">
        <v>25</v>
      </c>
      <c r="E166" t="s">
        <v>35</v>
      </c>
      <c r="F166" t="s">
        <v>18</v>
      </c>
      <c r="G166" s="2">
        <v>16900</v>
      </c>
      <c r="H166">
        <f>YEAR(tblServicios[[#This Row],[Fecha]])</f>
        <v>2025</v>
      </c>
      <c r="I166">
        <f>MONTH(tblServicios[[#This Row],[Fecha]])</f>
        <v>1</v>
      </c>
    </row>
    <row r="167" spans="1:9" x14ac:dyDescent="0.25">
      <c r="A167" t="s">
        <v>198</v>
      </c>
      <c r="B167" s="1">
        <v>45690</v>
      </c>
      <c r="C167" t="s">
        <v>10</v>
      </c>
      <c r="D167" t="s">
        <v>33</v>
      </c>
      <c r="E167" t="s">
        <v>29</v>
      </c>
      <c r="F167" t="s">
        <v>26</v>
      </c>
      <c r="G167" s="2">
        <v>1050</v>
      </c>
      <c r="H167">
        <f>YEAR(tblServicios[[#This Row],[Fecha]])</f>
        <v>2025</v>
      </c>
      <c r="I167">
        <f>MONTH(tblServicios[[#This Row],[Fecha]])</f>
        <v>2</v>
      </c>
    </row>
    <row r="168" spans="1:9" x14ac:dyDescent="0.25">
      <c r="A168" t="s">
        <v>199</v>
      </c>
      <c r="B168" s="1">
        <v>45691</v>
      </c>
      <c r="C168" t="s">
        <v>15</v>
      </c>
      <c r="D168" t="s">
        <v>25</v>
      </c>
      <c r="E168" t="s">
        <v>17</v>
      </c>
      <c r="F168" t="s">
        <v>26</v>
      </c>
      <c r="G168" s="2">
        <v>147250</v>
      </c>
      <c r="H168">
        <f>YEAR(tblServicios[[#This Row],[Fecha]])</f>
        <v>2025</v>
      </c>
      <c r="I168">
        <f>MONTH(tblServicios[[#This Row],[Fecha]])</f>
        <v>2</v>
      </c>
    </row>
    <row r="169" spans="1:9" x14ac:dyDescent="0.25">
      <c r="A169" t="s">
        <v>200</v>
      </c>
      <c r="B169" s="1">
        <v>45697</v>
      </c>
      <c r="C169" t="s">
        <v>24</v>
      </c>
      <c r="D169" t="s">
        <v>33</v>
      </c>
      <c r="E169" t="s">
        <v>29</v>
      </c>
      <c r="F169" t="s">
        <v>13</v>
      </c>
      <c r="G169" s="2">
        <v>1200</v>
      </c>
      <c r="H169">
        <f>YEAR(tblServicios[[#This Row],[Fecha]])</f>
        <v>2025</v>
      </c>
      <c r="I169">
        <f>MONTH(tblServicios[[#This Row],[Fecha]])</f>
        <v>2</v>
      </c>
    </row>
    <row r="170" spans="1:9" x14ac:dyDescent="0.25">
      <c r="A170" t="s">
        <v>201</v>
      </c>
      <c r="B170" s="1">
        <v>45699</v>
      </c>
      <c r="C170" t="s">
        <v>24</v>
      </c>
      <c r="D170" t="s">
        <v>33</v>
      </c>
      <c r="E170" t="s">
        <v>29</v>
      </c>
      <c r="F170" t="s">
        <v>26</v>
      </c>
      <c r="G170" s="2">
        <v>3400</v>
      </c>
      <c r="H170">
        <f>YEAR(tblServicios[[#This Row],[Fecha]])</f>
        <v>2025</v>
      </c>
      <c r="I170">
        <f>MONTH(tblServicios[[#This Row],[Fecha]])</f>
        <v>2</v>
      </c>
    </row>
    <row r="171" spans="1:9" x14ac:dyDescent="0.25">
      <c r="A171" t="s">
        <v>202</v>
      </c>
      <c r="B171" s="1">
        <v>45699</v>
      </c>
      <c r="C171" t="s">
        <v>15</v>
      </c>
      <c r="D171" t="s">
        <v>69</v>
      </c>
      <c r="E171" t="s">
        <v>29</v>
      </c>
      <c r="F171" t="s">
        <v>30</v>
      </c>
      <c r="G171" s="2">
        <v>1250</v>
      </c>
      <c r="H171">
        <f>YEAR(tblServicios[[#This Row],[Fecha]])</f>
        <v>2025</v>
      </c>
      <c r="I171">
        <f>MONTH(tblServicios[[#This Row],[Fecha]])</f>
        <v>2</v>
      </c>
    </row>
    <row r="172" spans="1:9" x14ac:dyDescent="0.25">
      <c r="A172" t="s">
        <v>203</v>
      </c>
      <c r="B172" s="1">
        <v>45701</v>
      </c>
      <c r="C172" t="s">
        <v>20</v>
      </c>
      <c r="D172" t="s">
        <v>16</v>
      </c>
      <c r="E172" t="s">
        <v>22</v>
      </c>
      <c r="F172" t="s">
        <v>13</v>
      </c>
      <c r="G172" s="2">
        <v>7150</v>
      </c>
      <c r="H172">
        <f>YEAR(tblServicios[[#This Row],[Fecha]])</f>
        <v>2025</v>
      </c>
      <c r="I172">
        <f>MONTH(tblServicios[[#This Row],[Fecha]])</f>
        <v>2</v>
      </c>
    </row>
    <row r="173" spans="1:9" x14ac:dyDescent="0.25">
      <c r="A173" t="s">
        <v>204</v>
      </c>
      <c r="B173" s="1">
        <v>45703</v>
      </c>
      <c r="C173" t="s">
        <v>10</v>
      </c>
      <c r="D173" t="s">
        <v>33</v>
      </c>
      <c r="E173" t="s">
        <v>29</v>
      </c>
      <c r="F173" t="s">
        <v>13</v>
      </c>
      <c r="G173" s="2">
        <v>2700</v>
      </c>
      <c r="H173">
        <f>YEAR(tblServicios[[#This Row],[Fecha]])</f>
        <v>2025</v>
      </c>
      <c r="I173">
        <f>MONTH(tblServicios[[#This Row],[Fecha]])</f>
        <v>2</v>
      </c>
    </row>
    <row r="174" spans="1:9" x14ac:dyDescent="0.25">
      <c r="A174" t="s">
        <v>205</v>
      </c>
      <c r="B174" s="1">
        <v>45704</v>
      </c>
      <c r="C174" t="s">
        <v>24</v>
      </c>
      <c r="D174" t="s">
        <v>21</v>
      </c>
      <c r="E174" t="s">
        <v>12</v>
      </c>
      <c r="F174" t="s">
        <v>45</v>
      </c>
      <c r="G174" s="2">
        <v>1950</v>
      </c>
      <c r="H174">
        <f>YEAR(tblServicios[[#This Row],[Fecha]])</f>
        <v>2025</v>
      </c>
      <c r="I174">
        <f>MONTH(tblServicios[[#This Row],[Fecha]])</f>
        <v>2</v>
      </c>
    </row>
    <row r="175" spans="1:9" x14ac:dyDescent="0.25">
      <c r="A175" t="s">
        <v>206</v>
      </c>
      <c r="B175" s="1">
        <v>45704</v>
      </c>
      <c r="C175" t="s">
        <v>20</v>
      </c>
      <c r="D175" t="s">
        <v>39</v>
      </c>
      <c r="E175" t="s">
        <v>29</v>
      </c>
      <c r="F175" t="s">
        <v>26</v>
      </c>
      <c r="G175" s="2">
        <v>2650</v>
      </c>
      <c r="H175">
        <f>YEAR(tblServicios[[#This Row],[Fecha]])</f>
        <v>2025</v>
      </c>
      <c r="I175">
        <f>MONTH(tblServicios[[#This Row],[Fecha]])</f>
        <v>2</v>
      </c>
    </row>
    <row r="176" spans="1:9" x14ac:dyDescent="0.25">
      <c r="A176" t="s">
        <v>207</v>
      </c>
      <c r="B176" s="1">
        <v>45707</v>
      </c>
      <c r="C176" t="s">
        <v>10</v>
      </c>
      <c r="D176" t="s">
        <v>11</v>
      </c>
      <c r="E176" t="s">
        <v>12</v>
      </c>
      <c r="F176" t="s">
        <v>26</v>
      </c>
      <c r="G176" s="2">
        <v>5850</v>
      </c>
      <c r="H176">
        <f>YEAR(tblServicios[[#This Row],[Fecha]])</f>
        <v>2025</v>
      </c>
      <c r="I176">
        <f>MONTH(tblServicios[[#This Row],[Fecha]])</f>
        <v>2</v>
      </c>
    </row>
    <row r="177" spans="1:9" x14ac:dyDescent="0.25">
      <c r="A177" t="s">
        <v>208</v>
      </c>
      <c r="B177" s="1">
        <v>45708</v>
      </c>
      <c r="C177" t="s">
        <v>10</v>
      </c>
      <c r="D177" t="s">
        <v>21</v>
      </c>
      <c r="E177" t="s">
        <v>22</v>
      </c>
      <c r="F177" t="s">
        <v>30</v>
      </c>
      <c r="G177" s="2">
        <v>4600</v>
      </c>
      <c r="H177">
        <f>YEAR(tblServicios[[#This Row],[Fecha]])</f>
        <v>2025</v>
      </c>
      <c r="I177">
        <f>MONTH(tblServicios[[#This Row],[Fecha]])</f>
        <v>2</v>
      </c>
    </row>
    <row r="178" spans="1:9" x14ac:dyDescent="0.25">
      <c r="A178" t="s">
        <v>209</v>
      </c>
      <c r="B178" s="1">
        <v>45711</v>
      </c>
      <c r="C178" t="s">
        <v>10</v>
      </c>
      <c r="D178" t="s">
        <v>69</v>
      </c>
      <c r="E178" t="s">
        <v>29</v>
      </c>
      <c r="F178" t="s">
        <v>26</v>
      </c>
      <c r="G178" s="2">
        <v>2050</v>
      </c>
      <c r="H178">
        <f>YEAR(tblServicios[[#This Row],[Fecha]])</f>
        <v>2025</v>
      </c>
      <c r="I178">
        <f>MONTH(tblServicios[[#This Row],[Fecha]])</f>
        <v>2</v>
      </c>
    </row>
    <row r="179" spans="1:9" x14ac:dyDescent="0.25">
      <c r="A179" t="s">
        <v>210</v>
      </c>
      <c r="B179" s="1">
        <v>45712</v>
      </c>
      <c r="C179" t="s">
        <v>15</v>
      </c>
      <c r="D179" t="s">
        <v>21</v>
      </c>
      <c r="E179" t="s">
        <v>22</v>
      </c>
      <c r="F179" t="s">
        <v>30</v>
      </c>
      <c r="G179" s="2">
        <v>7800</v>
      </c>
      <c r="H179">
        <f>YEAR(tblServicios[[#This Row],[Fecha]])</f>
        <v>2025</v>
      </c>
      <c r="I179">
        <f>MONTH(tblServicios[[#This Row],[Fecha]])</f>
        <v>2</v>
      </c>
    </row>
    <row r="180" spans="1:9" x14ac:dyDescent="0.25">
      <c r="A180" t="s">
        <v>211</v>
      </c>
      <c r="B180" s="1">
        <v>45718</v>
      </c>
      <c r="C180" t="s">
        <v>15</v>
      </c>
      <c r="D180" t="s">
        <v>11</v>
      </c>
      <c r="E180" t="s">
        <v>12</v>
      </c>
      <c r="F180" t="s">
        <v>18</v>
      </c>
      <c r="G180" s="2">
        <v>4700</v>
      </c>
      <c r="H180">
        <f>YEAR(tblServicios[[#This Row],[Fecha]])</f>
        <v>2025</v>
      </c>
      <c r="I180">
        <f>MONTH(tblServicios[[#This Row],[Fecha]])</f>
        <v>3</v>
      </c>
    </row>
    <row r="181" spans="1:9" x14ac:dyDescent="0.25">
      <c r="A181" t="s">
        <v>212</v>
      </c>
      <c r="B181" s="1">
        <v>45719</v>
      </c>
      <c r="C181" t="s">
        <v>15</v>
      </c>
      <c r="D181" t="s">
        <v>33</v>
      </c>
      <c r="E181" t="s">
        <v>29</v>
      </c>
      <c r="F181" t="s">
        <v>26</v>
      </c>
      <c r="G181" s="2">
        <v>2050</v>
      </c>
      <c r="H181">
        <f>YEAR(tblServicios[[#This Row],[Fecha]])</f>
        <v>2025</v>
      </c>
      <c r="I181">
        <f>MONTH(tblServicios[[#This Row],[Fecha]])</f>
        <v>3</v>
      </c>
    </row>
    <row r="182" spans="1:9" x14ac:dyDescent="0.25">
      <c r="A182" t="s">
        <v>213</v>
      </c>
      <c r="B182" s="1">
        <v>45719</v>
      </c>
      <c r="C182" t="s">
        <v>20</v>
      </c>
      <c r="D182" t="s">
        <v>28</v>
      </c>
      <c r="E182" t="s">
        <v>29</v>
      </c>
      <c r="F182" t="s">
        <v>13</v>
      </c>
      <c r="G182" s="2">
        <v>3100</v>
      </c>
      <c r="H182">
        <f>YEAR(tblServicios[[#This Row],[Fecha]])</f>
        <v>2025</v>
      </c>
      <c r="I182">
        <f>MONTH(tblServicios[[#This Row],[Fecha]])</f>
        <v>3</v>
      </c>
    </row>
    <row r="183" spans="1:9" x14ac:dyDescent="0.25">
      <c r="A183" t="s">
        <v>214</v>
      </c>
      <c r="B183" s="1">
        <v>45723</v>
      </c>
      <c r="C183" t="s">
        <v>15</v>
      </c>
      <c r="D183" t="s">
        <v>39</v>
      </c>
      <c r="E183" t="s">
        <v>35</v>
      </c>
      <c r="F183" t="s">
        <v>18</v>
      </c>
      <c r="G183" s="2">
        <v>18350</v>
      </c>
      <c r="H183">
        <f>YEAR(tblServicios[[#This Row],[Fecha]])</f>
        <v>2025</v>
      </c>
      <c r="I183">
        <f>MONTH(tblServicios[[#This Row],[Fecha]])</f>
        <v>3</v>
      </c>
    </row>
    <row r="184" spans="1:9" x14ac:dyDescent="0.25">
      <c r="A184" t="s">
        <v>215</v>
      </c>
      <c r="B184" s="1">
        <v>45723</v>
      </c>
      <c r="C184" t="s">
        <v>20</v>
      </c>
      <c r="D184" t="s">
        <v>69</v>
      </c>
      <c r="E184" t="s">
        <v>17</v>
      </c>
      <c r="F184" t="s">
        <v>48</v>
      </c>
      <c r="G184" s="2">
        <v>73000</v>
      </c>
      <c r="H184">
        <f>YEAR(tblServicios[[#This Row],[Fecha]])</f>
        <v>2025</v>
      </c>
      <c r="I184">
        <f>MONTH(tblServicios[[#This Row],[Fecha]])</f>
        <v>3</v>
      </c>
    </row>
    <row r="185" spans="1:9" x14ac:dyDescent="0.25">
      <c r="A185" t="s">
        <v>216</v>
      </c>
      <c r="B185" s="1">
        <v>45725</v>
      </c>
      <c r="C185" t="s">
        <v>47</v>
      </c>
      <c r="D185" t="s">
        <v>28</v>
      </c>
      <c r="E185" t="s">
        <v>12</v>
      </c>
      <c r="F185" t="s">
        <v>18</v>
      </c>
      <c r="G185" s="2">
        <v>2800</v>
      </c>
      <c r="H185">
        <f>YEAR(tblServicios[[#This Row],[Fecha]])</f>
        <v>2025</v>
      </c>
      <c r="I185">
        <f>MONTH(tblServicios[[#This Row],[Fecha]])</f>
        <v>3</v>
      </c>
    </row>
    <row r="186" spans="1:9" x14ac:dyDescent="0.25">
      <c r="A186" t="s">
        <v>217</v>
      </c>
      <c r="B186" s="1">
        <v>45726</v>
      </c>
      <c r="C186" t="s">
        <v>47</v>
      </c>
      <c r="D186" t="s">
        <v>25</v>
      </c>
      <c r="E186" t="s">
        <v>17</v>
      </c>
      <c r="F186" t="s">
        <v>18</v>
      </c>
      <c r="G186" s="2">
        <v>86800</v>
      </c>
      <c r="H186">
        <f>YEAR(tblServicios[[#This Row],[Fecha]])</f>
        <v>2025</v>
      </c>
      <c r="I186">
        <f>MONTH(tblServicios[[#This Row],[Fecha]])</f>
        <v>3</v>
      </c>
    </row>
    <row r="187" spans="1:9" x14ac:dyDescent="0.25">
      <c r="A187" t="s">
        <v>218</v>
      </c>
      <c r="B187" s="1">
        <v>45727</v>
      </c>
      <c r="C187" t="s">
        <v>20</v>
      </c>
      <c r="D187" t="s">
        <v>21</v>
      </c>
      <c r="E187" t="s">
        <v>12</v>
      </c>
      <c r="F187" t="s">
        <v>18</v>
      </c>
      <c r="G187" s="2">
        <v>5650</v>
      </c>
      <c r="H187">
        <f>YEAR(tblServicios[[#This Row],[Fecha]])</f>
        <v>2025</v>
      </c>
      <c r="I187">
        <f>MONTH(tblServicios[[#This Row],[Fecha]])</f>
        <v>3</v>
      </c>
    </row>
    <row r="188" spans="1:9" x14ac:dyDescent="0.25">
      <c r="A188" t="s">
        <v>219</v>
      </c>
      <c r="B188" s="1">
        <v>45727</v>
      </c>
      <c r="C188" t="s">
        <v>15</v>
      </c>
      <c r="D188" t="s">
        <v>69</v>
      </c>
      <c r="E188" t="s">
        <v>17</v>
      </c>
      <c r="F188" t="s">
        <v>45</v>
      </c>
      <c r="G188" s="2">
        <v>129100</v>
      </c>
      <c r="H188">
        <f>YEAR(tblServicios[[#This Row],[Fecha]])</f>
        <v>2025</v>
      </c>
      <c r="I188">
        <f>MONTH(tblServicios[[#This Row],[Fecha]])</f>
        <v>3</v>
      </c>
    </row>
    <row r="189" spans="1:9" x14ac:dyDescent="0.25">
      <c r="A189" t="s">
        <v>220</v>
      </c>
      <c r="B189" s="1">
        <v>45727</v>
      </c>
      <c r="C189" t="s">
        <v>24</v>
      </c>
      <c r="D189" t="s">
        <v>28</v>
      </c>
      <c r="E189" t="s">
        <v>12</v>
      </c>
      <c r="F189" t="s">
        <v>45</v>
      </c>
      <c r="G189" s="2">
        <v>5450</v>
      </c>
      <c r="H189">
        <f>YEAR(tblServicios[[#This Row],[Fecha]])</f>
        <v>2025</v>
      </c>
      <c r="I189">
        <f>MONTH(tblServicios[[#This Row],[Fecha]])</f>
        <v>3</v>
      </c>
    </row>
    <row r="190" spans="1:9" x14ac:dyDescent="0.25">
      <c r="A190" t="s">
        <v>221</v>
      </c>
      <c r="B190" s="1">
        <v>45727</v>
      </c>
      <c r="C190" t="s">
        <v>10</v>
      </c>
      <c r="D190" t="s">
        <v>21</v>
      </c>
      <c r="E190" t="s">
        <v>22</v>
      </c>
      <c r="F190" t="s">
        <v>45</v>
      </c>
      <c r="G190" s="2">
        <v>9250</v>
      </c>
      <c r="H190">
        <f>YEAR(tblServicios[[#This Row],[Fecha]])</f>
        <v>2025</v>
      </c>
      <c r="I190">
        <f>MONTH(tblServicios[[#This Row],[Fecha]])</f>
        <v>3</v>
      </c>
    </row>
    <row r="191" spans="1:9" x14ac:dyDescent="0.25">
      <c r="A191" t="s">
        <v>222</v>
      </c>
      <c r="B191" s="1">
        <v>45733</v>
      </c>
      <c r="C191" t="s">
        <v>24</v>
      </c>
      <c r="D191" t="s">
        <v>25</v>
      </c>
      <c r="E191" t="s">
        <v>17</v>
      </c>
      <c r="F191" t="s">
        <v>26</v>
      </c>
      <c r="G191" s="2">
        <v>164950</v>
      </c>
      <c r="H191">
        <f>YEAR(tblServicios[[#This Row],[Fecha]])</f>
        <v>2025</v>
      </c>
      <c r="I191">
        <f>MONTH(tblServicios[[#This Row],[Fecha]])</f>
        <v>3</v>
      </c>
    </row>
    <row r="192" spans="1:9" x14ac:dyDescent="0.25">
      <c r="A192" t="s">
        <v>223</v>
      </c>
      <c r="B192" s="1">
        <v>45738</v>
      </c>
      <c r="C192" t="s">
        <v>47</v>
      </c>
      <c r="D192" t="s">
        <v>16</v>
      </c>
      <c r="E192" t="s">
        <v>35</v>
      </c>
      <c r="F192" t="s">
        <v>18</v>
      </c>
      <c r="G192" s="2">
        <v>14950</v>
      </c>
      <c r="H192">
        <f>YEAR(tblServicios[[#This Row],[Fecha]])</f>
        <v>2025</v>
      </c>
      <c r="I192">
        <f>MONTH(tblServicios[[#This Row],[Fecha]])</f>
        <v>3</v>
      </c>
    </row>
    <row r="193" spans="1:9" x14ac:dyDescent="0.25">
      <c r="A193" t="s">
        <v>224</v>
      </c>
      <c r="B193" s="1">
        <v>45738</v>
      </c>
      <c r="C193" t="s">
        <v>24</v>
      </c>
      <c r="D193" t="s">
        <v>21</v>
      </c>
      <c r="E193" t="s">
        <v>12</v>
      </c>
      <c r="F193" t="s">
        <v>13</v>
      </c>
      <c r="G193" s="2">
        <v>2000</v>
      </c>
      <c r="H193">
        <f>YEAR(tblServicios[[#This Row],[Fecha]])</f>
        <v>2025</v>
      </c>
      <c r="I193">
        <f>MONTH(tblServicios[[#This Row],[Fecha]])</f>
        <v>3</v>
      </c>
    </row>
    <row r="194" spans="1:9" x14ac:dyDescent="0.25">
      <c r="A194" t="s">
        <v>225</v>
      </c>
      <c r="B194" s="1">
        <v>45745</v>
      </c>
      <c r="C194" t="s">
        <v>15</v>
      </c>
      <c r="D194" t="s">
        <v>33</v>
      </c>
      <c r="E194" t="s">
        <v>29</v>
      </c>
      <c r="F194" t="s">
        <v>18</v>
      </c>
      <c r="G194" s="2">
        <v>3050</v>
      </c>
      <c r="H194">
        <f>YEAR(tblServicios[[#This Row],[Fecha]])</f>
        <v>2025</v>
      </c>
      <c r="I194">
        <f>MONTH(tblServicios[[#This Row],[Fecha]])</f>
        <v>3</v>
      </c>
    </row>
    <row r="195" spans="1:9" x14ac:dyDescent="0.25">
      <c r="A195" t="s">
        <v>226</v>
      </c>
      <c r="B195" s="1">
        <v>45746</v>
      </c>
      <c r="C195" t="s">
        <v>47</v>
      </c>
      <c r="D195" t="s">
        <v>33</v>
      </c>
      <c r="E195" t="s">
        <v>29</v>
      </c>
      <c r="F195" t="s">
        <v>18</v>
      </c>
      <c r="G195" s="2">
        <v>2350</v>
      </c>
      <c r="H195">
        <f>YEAR(tblServicios[[#This Row],[Fecha]])</f>
        <v>2025</v>
      </c>
      <c r="I195">
        <f>MONTH(tblServicios[[#This Row],[Fecha]])</f>
        <v>3</v>
      </c>
    </row>
    <row r="196" spans="1:9" x14ac:dyDescent="0.25">
      <c r="A196" t="s">
        <v>227</v>
      </c>
      <c r="B196" s="1">
        <v>45748</v>
      </c>
      <c r="C196" t="s">
        <v>15</v>
      </c>
      <c r="D196" t="s">
        <v>39</v>
      </c>
      <c r="E196" t="s">
        <v>29</v>
      </c>
      <c r="F196" t="s">
        <v>13</v>
      </c>
      <c r="G196" s="2">
        <v>2000</v>
      </c>
      <c r="H196">
        <f>YEAR(tblServicios[[#This Row],[Fecha]])</f>
        <v>2025</v>
      </c>
      <c r="I196">
        <f>MONTH(tblServicios[[#This Row],[Fecha]])</f>
        <v>4</v>
      </c>
    </row>
    <row r="197" spans="1:9" x14ac:dyDescent="0.25">
      <c r="A197" t="s">
        <v>228</v>
      </c>
      <c r="B197" s="1">
        <v>45750</v>
      </c>
      <c r="C197" t="s">
        <v>20</v>
      </c>
      <c r="D197" t="s">
        <v>69</v>
      </c>
      <c r="E197" t="s">
        <v>29</v>
      </c>
      <c r="F197" t="s">
        <v>13</v>
      </c>
      <c r="G197" s="2">
        <v>1700</v>
      </c>
      <c r="H197">
        <f>YEAR(tblServicios[[#This Row],[Fecha]])</f>
        <v>2025</v>
      </c>
      <c r="I197">
        <f>MONTH(tblServicios[[#This Row],[Fecha]])</f>
        <v>4</v>
      </c>
    </row>
    <row r="198" spans="1:9" x14ac:dyDescent="0.25">
      <c r="A198" t="s">
        <v>229</v>
      </c>
      <c r="B198" s="1">
        <v>45751</v>
      </c>
      <c r="C198" t="s">
        <v>47</v>
      </c>
      <c r="D198" t="s">
        <v>16</v>
      </c>
      <c r="E198" t="s">
        <v>22</v>
      </c>
      <c r="F198" t="s">
        <v>26</v>
      </c>
      <c r="G198" s="2">
        <v>10300</v>
      </c>
      <c r="H198">
        <f>YEAR(tblServicios[[#This Row],[Fecha]])</f>
        <v>2025</v>
      </c>
      <c r="I198">
        <f>MONTH(tblServicios[[#This Row],[Fecha]])</f>
        <v>4</v>
      </c>
    </row>
    <row r="199" spans="1:9" x14ac:dyDescent="0.25">
      <c r="A199" t="s">
        <v>230</v>
      </c>
      <c r="B199" s="1">
        <v>45752</v>
      </c>
      <c r="C199" t="s">
        <v>24</v>
      </c>
      <c r="D199" t="s">
        <v>28</v>
      </c>
      <c r="E199" t="s">
        <v>29</v>
      </c>
      <c r="F199" t="s">
        <v>26</v>
      </c>
      <c r="G199" s="2">
        <v>1450</v>
      </c>
      <c r="H199">
        <f>YEAR(tblServicios[[#This Row],[Fecha]])</f>
        <v>2025</v>
      </c>
      <c r="I199">
        <f>MONTH(tblServicios[[#This Row],[Fecha]])</f>
        <v>4</v>
      </c>
    </row>
    <row r="200" spans="1:9" x14ac:dyDescent="0.25">
      <c r="A200" t="s">
        <v>231</v>
      </c>
      <c r="B200" s="1">
        <v>45753</v>
      </c>
      <c r="C200" t="s">
        <v>24</v>
      </c>
      <c r="D200" t="s">
        <v>21</v>
      </c>
      <c r="E200" t="s">
        <v>12</v>
      </c>
      <c r="F200" t="s">
        <v>18</v>
      </c>
      <c r="G200" s="2">
        <v>4000</v>
      </c>
      <c r="H200">
        <f>YEAR(tblServicios[[#This Row],[Fecha]])</f>
        <v>2025</v>
      </c>
      <c r="I200">
        <f>MONTH(tblServicios[[#This Row],[Fecha]])</f>
        <v>4</v>
      </c>
    </row>
    <row r="201" spans="1:9" x14ac:dyDescent="0.25">
      <c r="A201" t="s">
        <v>232</v>
      </c>
      <c r="B201" s="1">
        <v>45758</v>
      </c>
      <c r="C201" t="s">
        <v>15</v>
      </c>
      <c r="D201" t="s">
        <v>33</v>
      </c>
      <c r="E201" t="s">
        <v>22</v>
      </c>
      <c r="F201" t="s">
        <v>13</v>
      </c>
      <c r="G201" s="2">
        <v>14200</v>
      </c>
      <c r="H201">
        <f>YEAR(tblServicios[[#This Row],[Fecha]])</f>
        <v>2025</v>
      </c>
      <c r="I201">
        <f>MONTH(tblServicios[[#This Row],[Fecha]])</f>
        <v>4</v>
      </c>
    </row>
    <row r="202" spans="1:9" x14ac:dyDescent="0.25">
      <c r="A202" t="s">
        <v>233</v>
      </c>
      <c r="B202" s="1">
        <v>45760</v>
      </c>
      <c r="C202" t="s">
        <v>10</v>
      </c>
      <c r="D202" t="s">
        <v>11</v>
      </c>
      <c r="E202" t="s">
        <v>12</v>
      </c>
      <c r="F202" t="s">
        <v>18</v>
      </c>
      <c r="G202" s="2">
        <v>1550</v>
      </c>
      <c r="H202">
        <f>YEAR(tblServicios[[#This Row],[Fecha]])</f>
        <v>2025</v>
      </c>
      <c r="I202">
        <f>MONTH(tblServicios[[#This Row],[Fecha]])</f>
        <v>4</v>
      </c>
    </row>
    <row r="203" spans="1:9" x14ac:dyDescent="0.25">
      <c r="A203" t="s">
        <v>234</v>
      </c>
      <c r="B203" s="1">
        <v>45762</v>
      </c>
      <c r="C203" t="s">
        <v>20</v>
      </c>
      <c r="D203" t="s">
        <v>21</v>
      </c>
      <c r="E203" t="s">
        <v>12</v>
      </c>
      <c r="F203" t="s">
        <v>48</v>
      </c>
      <c r="G203" s="2">
        <v>1500</v>
      </c>
      <c r="H203">
        <f>YEAR(tblServicios[[#This Row],[Fecha]])</f>
        <v>2025</v>
      </c>
      <c r="I203">
        <f>MONTH(tblServicios[[#This Row],[Fecha]])</f>
        <v>4</v>
      </c>
    </row>
    <row r="204" spans="1:9" x14ac:dyDescent="0.25">
      <c r="A204" t="s">
        <v>235</v>
      </c>
      <c r="B204" s="1">
        <v>45765</v>
      </c>
      <c r="C204" t="s">
        <v>20</v>
      </c>
      <c r="D204" t="s">
        <v>11</v>
      </c>
      <c r="E204" t="s">
        <v>12</v>
      </c>
      <c r="F204" t="s">
        <v>45</v>
      </c>
      <c r="G204" s="2">
        <v>2400</v>
      </c>
      <c r="H204">
        <f>YEAR(tblServicios[[#This Row],[Fecha]])</f>
        <v>2025</v>
      </c>
      <c r="I204">
        <f>MONTH(tblServicios[[#This Row],[Fecha]])</f>
        <v>4</v>
      </c>
    </row>
    <row r="205" spans="1:9" x14ac:dyDescent="0.25">
      <c r="A205" t="s">
        <v>236</v>
      </c>
      <c r="B205" s="1">
        <v>45767</v>
      </c>
      <c r="C205" t="s">
        <v>24</v>
      </c>
      <c r="D205" t="s">
        <v>25</v>
      </c>
      <c r="E205" t="s">
        <v>17</v>
      </c>
      <c r="F205" t="s">
        <v>48</v>
      </c>
      <c r="G205" s="2">
        <v>83700</v>
      </c>
      <c r="H205">
        <f>YEAR(tblServicios[[#This Row],[Fecha]])</f>
        <v>2025</v>
      </c>
      <c r="I205">
        <f>MONTH(tblServicios[[#This Row],[Fecha]])</f>
        <v>4</v>
      </c>
    </row>
    <row r="206" spans="1:9" x14ac:dyDescent="0.25">
      <c r="A206" t="s">
        <v>237</v>
      </c>
      <c r="B206" s="1">
        <v>45768</v>
      </c>
      <c r="C206" t="s">
        <v>24</v>
      </c>
      <c r="D206" t="s">
        <v>28</v>
      </c>
      <c r="E206" t="s">
        <v>29</v>
      </c>
      <c r="F206" t="s">
        <v>30</v>
      </c>
      <c r="G206" s="2">
        <v>1150</v>
      </c>
      <c r="H206">
        <f>YEAR(tblServicios[[#This Row],[Fecha]])</f>
        <v>2025</v>
      </c>
      <c r="I206">
        <f>MONTH(tblServicios[[#This Row],[Fecha]])</f>
        <v>4</v>
      </c>
    </row>
    <row r="207" spans="1:9" x14ac:dyDescent="0.25">
      <c r="A207" t="s">
        <v>238</v>
      </c>
      <c r="B207" s="1">
        <v>45768</v>
      </c>
      <c r="C207" t="s">
        <v>10</v>
      </c>
      <c r="D207" t="s">
        <v>39</v>
      </c>
      <c r="E207" t="s">
        <v>35</v>
      </c>
      <c r="F207" t="s">
        <v>26</v>
      </c>
      <c r="G207" s="2">
        <v>14450</v>
      </c>
      <c r="H207">
        <f>YEAR(tblServicios[[#This Row],[Fecha]])</f>
        <v>2025</v>
      </c>
      <c r="I207">
        <f>MONTH(tblServicios[[#This Row],[Fecha]])</f>
        <v>4</v>
      </c>
    </row>
    <row r="208" spans="1:9" x14ac:dyDescent="0.25">
      <c r="A208" t="s">
        <v>239</v>
      </c>
      <c r="B208" s="1">
        <v>45769</v>
      </c>
      <c r="C208" t="s">
        <v>20</v>
      </c>
      <c r="D208" t="s">
        <v>69</v>
      </c>
      <c r="E208" t="s">
        <v>29</v>
      </c>
      <c r="F208" t="s">
        <v>45</v>
      </c>
      <c r="G208" s="2">
        <v>2700</v>
      </c>
      <c r="H208">
        <f>YEAR(tblServicios[[#This Row],[Fecha]])</f>
        <v>2025</v>
      </c>
      <c r="I208">
        <f>MONTH(tblServicios[[#This Row],[Fecha]])</f>
        <v>4</v>
      </c>
    </row>
    <row r="209" spans="1:9" x14ac:dyDescent="0.25">
      <c r="A209" t="s">
        <v>240</v>
      </c>
      <c r="B209" s="1">
        <v>45769</v>
      </c>
      <c r="C209" t="s">
        <v>10</v>
      </c>
      <c r="D209" t="s">
        <v>28</v>
      </c>
      <c r="E209" t="s">
        <v>12</v>
      </c>
      <c r="F209" t="s">
        <v>45</v>
      </c>
      <c r="G209" s="2">
        <v>2850</v>
      </c>
      <c r="H209">
        <f>YEAR(tblServicios[[#This Row],[Fecha]])</f>
        <v>2025</v>
      </c>
      <c r="I209">
        <f>MONTH(tblServicios[[#This Row],[Fecha]])</f>
        <v>4</v>
      </c>
    </row>
    <row r="210" spans="1:9" x14ac:dyDescent="0.25">
      <c r="A210" t="s">
        <v>241</v>
      </c>
      <c r="B210" s="1">
        <v>45772</v>
      </c>
      <c r="C210" t="s">
        <v>10</v>
      </c>
      <c r="D210" t="s">
        <v>28</v>
      </c>
      <c r="E210" t="s">
        <v>29</v>
      </c>
      <c r="F210" t="s">
        <v>13</v>
      </c>
      <c r="G210" s="2">
        <v>3000</v>
      </c>
      <c r="H210">
        <f>YEAR(tblServicios[[#This Row],[Fecha]])</f>
        <v>2025</v>
      </c>
      <c r="I210">
        <f>MONTH(tblServicios[[#This Row],[Fecha]])</f>
        <v>4</v>
      </c>
    </row>
    <row r="211" spans="1:9" x14ac:dyDescent="0.25">
      <c r="A211" t="s">
        <v>242</v>
      </c>
      <c r="B211" s="1">
        <v>45775</v>
      </c>
      <c r="C211" t="s">
        <v>10</v>
      </c>
      <c r="D211" t="s">
        <v>21</v>
      </c>
      <c r="E211" t="s">
        <v>22</v>
      </c>
      <c r="F211" t="s">
        <v>18</v>
      </c>
      <c r="G211" s="2">
        <v>8950</v>
      </c>
      <c r="H211">
        <f>YEAR(tblServicios[[#This Row],[Fecha]])</f>
        <v>2025</v>
      </c>
      <c r="I211">
        <f>MONTH(tblServicios[[#This Row],[Fecha]])</f>
        <v>4</v>
      </c>
    </row>
    <row r="212" spans="1:9" x14ac:dyDescent="0.25">
      <c r="A212" t="s">
        <v>243</v>
      </c>
      <c r="B212" s="1">
        <v>45777</v>
      </c>
      <c r="C212" t="s">
        <v>15</v>
      </c>
      <c r="D212" t="s">
        <v>39</v>
      </c>
      <c r="E212" t="s">
        <v>35</v>
      </c>
      <c r="F212" t="s">
        <v>48</v>
      </c>
      <c r="G212" s="2">
        <v>16600</v>
      </c>
      <c r="H212">
        <f>YEAR(tblServicios[[#This Row],[Fecha]])</f>
        <v>2025</v>
      </c>
      <c r="I212">
        <f>MONTH(tblServicios[[#This Row],[Fecha]])</f>
        <v>4</v>
      </c>
    </row>
    <row r="213" spans="1:9" x14ac:dyDescent="0.25">
      <c r="A213" t="s">
        <v>244</v>
      </c>
      <c r="B213" s="1">
        <v>45778</v>
      </c>
      <c r="C213" t="s">
        <v>47</v>
      </c>
      <c r="D213" t="s">
        <v>16</v>
      </c>
      <c r="E213" t="s">
        <v>35</v>
      </c>
      <c r="F213" t="s">
        <v>13</v>
      </c>
      <c r="G213" s="2">
        <v>18750</v>
      </c>
      <c r="H213">
        <f>YEAR(tblServicios[[#This Row],[Fecha]])</f>
        <v>2025</v>
      </c>
      <c r="I213">
        <f>MONTH(tblServicios[[#This Row],[Fecha]])</f>
        <v>5</v>
      </c>
    </row>
    <row r="214" spans="1:9" x14ac:dyDescent="0.25">
      <c r="A214" t="s">
        <v>245</v>
      </c>
      <c r="B214" s="1">
        <v>45781</v>
      </c>
      <c r="C214" t="s">
        <v>15</v>
      </c>
      <c r="D214" t="s">
        <v>33</v>
      </c>
      <c r="E214" t="s">
        <v>29</v>
      </c>
      <c r="F214" t="s">
        <v>30</v>
      </c>
      <c r="G214" s="2">
        <v>2400</v>
      </c>
      <c r="H214">
        <f>YEAR(tblServicios[[#This Row],[Fecha]])</f>
        <v>2025</v>
      </c>
      <c r="I214">
        <f>MONTH(tblServicios[[#This Row],[Fecha]])</f>
        <v>5</v>
      </c>
    </row>
    <row r="215" spans="1:9" x14ac:dyDescent="0.25">
      <c r="A215" t="s">
        <v>246</v>
      </c>
      <c r="B215" s="1">
        <v>45781</v>
      </c>
      <c r="C215" t="s">
        <v>10</v>
      </c>
      <c r="D215" t="s">
        <v>28</v>
      </c>
      <c r="E215" t="s">
        <v>12</v>
      </c>
      <c r="F215" t="s">
        <v>13</v>
      </c>
      <c r="G215" s="2">
        <v>5600</v>
      </c>
      <c r="H215">
        <f>YEAR(tblServicios[[#This Row],[Fecha]])</f>
        <v>2025</v>
      </c>
      <c r="I215">
        <f>MONTH(tblServicios[[#This Row],[Fecha]])</f>
        <v>5</v>
      </c>
    </row>
    <row r="216" spans="1:9" x14ac:dyDescent="0.25">
      <c r="A216" t="s">
        <v>247</v>
      </c>
      <c r="B216" s="1">
        <v>45782</v>
      </c>
      <c r="C216" t="s">
        <v>10</v>
      </c>
      <c r="D216" t="s">
        <v>16</v>
      </c>
      <c r="E216" t="s">
        <v>22</v>
      </c>
      <c r="F216" t="s">
        <v>13</v>
      </c>
      <c r="G216" s="2">
        <v>14700</v>
      </c>
      <c r="H216">
        <f>YEAR(tblServicios[[#This Row],[Fecha]])</f>
        <v>2025</v>
      </c>
      <c r="I216">
        <f>MONTH(tblServicios[[#This Row],[Fecha]])</f>
        <v>5</v>
      </c>
    </row>
    <row r="217" spans="1:9" x14ac:dyDescent="0.25">
      <c r="A217" t="s">
        <v>248</v>
      </c>
      <c r="B217" s="1">
        <v>45790</v>
      </c>
      <c r="C217" t="s">
        <v>10</v>
      </c>
      <c r="D217" t="s">
        <v>28</v>
      </c>
      <c r="E217" t="s">
        <v>29</v>
      </c>
      <c r="F217" t="s">
        <v>26</v>
      </c>
      <c r="G217" s="2">
        <v>1550</v>
      </c>
      <c r="H217">
        <f>YEAR(tblServicios[[#This Row],[Fecha]])</f>
        <v>2025</v>
      </c>
      <c r="I217">
        <f>MONTH(tblServicios[[#This Row],[Fecha]])</f>
        <v>5</v>
      </c>
    </row>
    <row r="218" spans="1:9" x14ac:dyDescent="0.25">
      <c r="A218" t="s">
        <v>249</v>
      </c>
      <c r="B218" s="1">
        <v>45791</v>
      </c>
      <c r="C218" t="s">
        <v>24</v>
      </c>
      <c r="D218" t="s">
        <v>21</v>
      </c>
      <c r="E218" t="s">
        <v>22</v>
      </c>
      <c r="F218" t="s">
        <v>48</v>
      </c>
      <c r="G218" s="2">
        <v>8950</v>
      </c>
      <c r="H218">
        <f>YEAR(tblServicios[[#This Row],[Fecha]])</f>
        <v>2025</v>
      </c>
      <c r="I218">
        <f>MONTH(tblServicios[[#This Row],[Fecha]])</f>
        <v>5</v>
      </c>
    </row>
    <row r="219" spans="1:9" x14ac:dyDescent="0.25">
      <c r="A219" t="s">
        <v>250</v>
      </c>
      <c r="B219" s="1">
        <v>45792</v>
      </c>
      <c r="C219" t="s">
        <v>20</v>
      </c>
      <c r="D219" t="s">
        <v>28</v>
      </c>
      <c r="E219" t="s">
        <v>12</v>
      </c>
      <c r="F219" t="s">
        <v>26</v>
      </c>
      <c r="G219" s="2">
        <v>2650</v>
      </c>
      <c r="H219">
        <f>YEAR(tblServicios[[#This Row],[Fecha]])</f>
        <v>2025</v>
      </c>
      <c r="I219">
        <f>MONTH(tblServicios[[#This Row],[Fecha]])</f>
        <v>5</v>
      </c>
    </row>
    <row r="220" spans="1:9" x14ac:dyDescent="0.25">
      <c r="A220" t="s">
        <v>251</v>
      </c>
      <c r="B220" s="1">
        <v>45794</v>
      </c>
      <c r="C220" t="s">
        <v>20</v>
      </c>
      <c r="D220" t="s">
        <v>16</v>
      </c>
      <c r="E220" t="s">
        <v>35</v>
      </c>
      <c r="F220" t="s">
        <v>48</v>
      </c>
      <c r="G220" s="2">
        <v>13000</v>
      </c>
      <c r="H220">
        <f>YEAR(tblServicios[[#This Row],[Fecha]])</f>
        <v>2025</v>
      </c>
      <c r="I220">
        <f>MONTH(tblServicios[[#This Row],[Fecha]])</f>
        <v>5</v>
      </c>
    </row>
    <row r="221" spans="1:9" x14ac:dyDescent="0.25">
      <c r="A221" t="s">
        <v>252</v>
      </c>
      <c r="B221" s="1">
        <v>45797</v>
      </c>
      <c r="C221" t="s">
        <v>10</v>
      </c>
      <c r="D221" t="s">
        <v>69</v>
      </c>
      <c r="E221" t="s">
        <v>29</v>
      </c>
      <c r="F221" t="s">
        <v>30</v>
      </c>
      <c r="G221" s="2">
        <v>3100</v>
      </c>
      <c r="H221">
        <f>YEAR(tblServicios[[#This Row],[Fecha]])</f>
        <v>2025</v>
      </c>
      <c r="I221">
        <f>MONTH(tblServicios[[#This Row],[Fecha]])</f>
        <v>5</v>
      </c>
    </row>
    <row r="222" spans="1:9" x14ac:dyDescent="0.25">
      <c r="A222" t="s">
        <v>253</v>
      </c>
      <c r="B222" s="1">
        <v>45798</v>
      </c>
      <c r="C222" t="s">
        <v>24</v>
      </c>
      <c r="D222" t="s">
        <v>69</v>
      </c>
      <c r="E222" t="s">
        <v>29</v>
      </c>
      <c r="F222" t="s">
        <v>45</v>
      </c>
      <c r="G222" s="2">
        <v>2900</v>
      </c>
      <c r="H222">
        <f>YEAR(tblServicios[[#This Row],[Fecha]])</f>
        <v>2025</v>
      </c>
      <c r="I222">
        <f>MONTH(tblServicios[[#This Row],[Fecha]])</f>
        <v>5</v>
      </c>
    </row>
    <row r="223" spans="1:9" x14ac:dyDescent="0.25">
      <c r="A223" t="s">
        <v>254</v>
      </c>
      <c r="B223" s="1">
        <v>45800</v>
      </c>
      <c r="C223" t="s">
        <v>10</v>
      </c>
      <c r="D223" t="s">
        <v>28</v>
      </c>
      <c r="E223" t="s">
        <v>12</v>
      </c>
      <c r="F223" t="s">
        <v>48</v>
      </c>
      <c r="G223" s="2">
        <v>4750</v>
      </c>
      <c r="H223">
        <f>YEAR(tblServicios[[#This Row],[Fecha]])</f>
        <v>2025</v>
      </c>
      <c r="I223">
        <f>MONTH(tblServicios[[#This Row],[Fecha]])</f>
        <v>5</v>
      </c>
    </row>
    <row r="224" spans="1:9" x14ac:dyDescent="0.25">
      <c r="A224" t="s">
        <v>255</v>
      </c>
      <c r="B224" s="1">
        <v>45802</v>
      </c>
      <c r="C224" t="s">
        <v>47</v>
      </c>
      <c r="D224" t="s">
        <v>25</v>
      </c>
      <c r="E224" t="s">
        <v>17</v>
      </c>
      <c r="F224" t="s">
        <v>18</v>
      </c>
      <c r="G224" s="2">
        <v>67150</v>
      </c>
      <c r="H224">
        <f>YEAR(tblServicios[[#This Row],[Fecha]])</f>
        <v>2025</v>
      </c>
      <c r="I224">
        <f>MONTH(tblServicios[[#This Row],[Fecha]])</f>
        <v>5</v>
      </c>
    </row>
    <row r="225" spans="1:9" x14ac:dyDescent="0.25">
      <c r="A225" t="s">
        <v>256</v>
      </c>
      <c r="B225" s="1">
        <v>45803</v>
      </c>
      <c r="C225" t="s">
        <v>15</v>
      </c>
      <c r="D225" t="s">
        <v>21</v>
      </c>
      <c r="E225" t="s">
        <v>12</v>
      </c>
      <c r="F225" t="s">
        <v>18</v>
      </c>
      <c r="G225" s="2">
        <v>3950</v>
      </c>
      <c r="H225">
        <f>YEAR(tblServicios[[#This Row],[Fecha]])</f>
        <v>2025</v>
      </c>
      <c r="I225">
        <f>MONTH(tblServicios[[#This Row],[Fecha]])</f>
        <v>5</v>
      </c>
    </row>
    <row r="226" spans="1:9" x14ac:dyDescent="0.25">
      <c r="A226" t="s">
        <v>257</v>
      </c>
      <c r="B226" s="1">
        <v>45804</v>
      </c>
      <c r="C226" t="s">
        <v>10</v>
      </c>
      <c r="D226" t="s">
        <v>21</v>
      </c>
      <c r="E226" t="s">
        <v>12</v>
      </c>
      <c r="F226" t="s">
        <v>18</v>
      </c>
      <c r="G226" s="2">
        <v>3600</v>
      </c>
      <c r="H226">
        <f>YEAR(tblServicios[[#This Row],[Fecha]])</f>
        <v>2025</v>
      </c>
      <c r="I226">
        <f>MONTH(tblServicios[[#This Row],[Fecha]])</f>
        <v>5</v>
      </c>
    </row>
    <row r="227" spans="1:9" x14ac:dyDescent="0.25">
      <c r="A227" t="s">
        <v>258</v>
      </c>
      <c r="B227" s="1">
        <v>45805</v>
      </c>
      <c r="C227" t="s">
        <v>10</v>
      </c>
      <c r="D227" t="s">
        <v>21</v>
      </c>
      <c r="E227" t="s">
        <v>22</v>
      </c>
      <c r="F227" t="s">
        <v>18</v>
      </c>
      <c r="G227" s="2">
        <v>9800</v>
      </c>
      <c r="H227">
        <f>YEAR(tblServicios[[#This Row],[Fecha]])</f>
        <v>2025</v>
      </c>
      <c r="I227">
        <f>MONTH(tblServicios[[#This Row],[Fecha]])</f>
        <v>5</v>
      </c>
    </row>
    <row r="228" spans="1:9" x14ac:dyDescent="0.25">
      <c r="A228" t="s">
        <v>259</v>
      </c>
      <c r="B228" s="1">
        <v>45806</v>
      </c>
      <c r="C228" t="s">
        <v>15</v>
      </c>
      <c r="D228" t="s">
        <v>33</v>
      </c>
      <c r="E228" t="s">
        <v>29</v>
      </c>
      <c r="F228" t="s">
        <v>18</v>
      </c>
      <c r="G228" s="2">
        <v>1700</v>
      </c>
      <c r="H228">
        <f>YEAR(tblServicios[[#This Row],[Fecha]])</f>
        <v>2025</v>
      </c>
      <c r="I228">
        <f>MONTH(tblServicios[[#This Row],[Fecha]])</f>
        <v>5</v>
      </c>
    </row>
    <row r="229" spans="1:9" x14ac:dyDescent="0.25">
      <c r="A229" t="s">
        <v>260</v>
      </c>
      <c r="B229" s="1">
        <v>45808</v>
      </c>
      <c r="C229" t="s">
        <v>20</v>
      </c>
      <c r="D229" t="s">
        <v>33</v>
      </c>
      <c r="E229" t="s">
        <v>29</v>
      </c>
      <c r="F229" t="s">
        <v>18</v>
      </c>
      <c r="G229" s="2">
        <v>1600</v>
      </c>
      <c r="H229">
        <f>YEAR(tblServicios[[#This Row],[Fecha]])</f>
        <v>2025</v>
      </c>
      <c r="I229">
        <f>MONTH(tblServicios[[#This Row],[Fecha]])</f>
        <v>5</v>
      </c>
    </row>
    <row r="230" spans="1:9" x14ac:dyDescent="0.25">
      <c r="A230" t="s">
        <v>261</v>
      </c>
      <c r="B230" s="1">
        <v>45809</v>
      </c>
      <c r="C230" t="s">
        <v>10</v>
      </c>
      <c r="D230" t="s">
        <v>33</v>
      </c>
      <c r="E230" t="s">
        <v>29</v>
      </c>
      <c r="F230" t="s">
        <v>18</v>
      </c>
      <c r="G230" s="2">
        <v>2950</v>
      </c>
      <c r="H230">
        <f>YEAR(tblServicios[[#This Row],[Fecha]])</f>
        <v>2025</v>
      </c>
      <c r="I230">
        <f>MONTH(tblServicios[[#This Row],[Fecha]])</f>
        <v>6</v>
      </c>
    </row>
    <row r="231" spans="1:9" x14ac:dyDescent="0.25">
      <c r="A231" t="s">
        <v>262</v>
      </c>
      <c r="B231" s="1">
        <v>45812</v>
      </c>
      <c r="C231" t="s">
        <v>24</v>
      </c>
      <c r="D231" t="s">
        <v>25</v>
      </c>
      <c r="E231" t="s">
        <v>35</v>
      </c>
      <c r="F231" t="s">
        <v>30</v>
      </c>
      <c r="G231" s="2">
        <v>17300</v>
      </c>
      <c r="H231">
        <f>YEAR(tblServicios[[#This Row],[Fecha]])</f>
        <v>2025</v>
      </c>
      <c r="I231">
        <f>MONTH(tblServicios[[#This Row],[Fecha]])</f>
        <v>6</v>
      </c>
    </row>
    <row r="232" spans="1:9" x14ac:dyDescent="0.25">
      <c r="A232" t="s">
        <v>263</v>
      </c>
      <c r="B232" s="1">
        <v>45813</v>
      </c>
      <c r="C232" t="s">
        <v>15</v>
      </c>
      <c r="D232" t="s">
        <v>39</v>
      </c>
      <c r="E232" t="s">
        <v>29</v>
      </c>
      <c r="F232" t="s">
        <v>45</v>
      </c>
      <c r="G232" s="2">
        <v>1850</v>
      </c>
      <c r="H232">
        <f>YEAR(tblServicios[[#This Row],[Fecha]])</f>
        <v>2025</v>
      </c>
      <c r="I232">
        <f>MONTH(tblServicios[[#This Row],[Fecha]])</f>
        <v>6</v>
      </c>
    </row>
    <row r="233" spans="1:9" x14ac:dyDescent="0.25">
      <c r="A233" t="s">
        <v>264</v>
      </c>
      <c r="B233" s="1">
        <v>45813</v>
      </c>
      <c r="C233" t="s">
        <v>15</v>
      </c>
      <c r="D233" t="s">
        <v>11</v>
      </c>
      <c r="E233" t="s">
        <v>12</v>
      </c>
      <c r="F233" t="s">
        <v>18</v>
      </c>
      <c r="G233" s="2">
        <v>4800</v>
      </c>
      <c r="H233">
        <f>YEAR(tblServicios[[#This Row],[Fecha]])</f>
        <v>2025</v>
      </c>
      <c r="I233">
        <f>MONTH(tblServicios[[#This Row],[Fecha]])</f>
        <v>6</v>
      </c>
    </row>
    <row r="234" spans="1:9" x14ac:dyDescent="0.25">
      <c r="A234" t="s">
        <v>265</v>
      </c>
      <c r="B234" s="1">
        <v>45814</v>
      </c>
      <c r="C234" t="s">
        <v>10</v>
      </c>
      <c r="D234" t="s">
        <v>33</v>
      </c>
      <c r="E234" t="s">
        <v>29</v>
      </c>
      <c r="F234" t="s">
        <v>18</v>
      </c>
      <c r="G234" s="2">
        <v>2950</v>
      </c>
      <c r="H234">
        <f>YEAR(tblServicios[[#This Row],[Fecha]])</f>
        <v>2025</v>
      </c>
      <c r="I234">
        <f>MONTH(tblServicios[[#This Row],[Fecha]])</f>
        <v>6</v>
      </c>
    </row>
    <row r="235" spans="1:9" x14ac:dyDescent="0.25">
      <c r="A235" t="s">
        <v>266</v>
      </c>
      <c r="B235" s="1">
        <v>45818</v>
      </c>
      <c r="C235" t="s">
        <v>10</v>
      </c>
      <c r="D235" t="s">
        <v>39</v>
      </c>
      <c r="E235" t="s">
        <v>29</v>
      </c>
      <c r="F235" t="s">
        <v>18</v>
      </c>
      <c r="G235" s="2">
        <v>1500</v>
      </c>
      <c r="H235">
        <f>YEAR(tblServicios[[#This Row],[Fecha]])</f>
        <v>2025</v>
      </c>
      <c r="I235">
        <f>MONTH(tblServicios[[#This Row],[Fecha]])</f>
        <v>6</v>
      </c>
    </row>
    <row r="236" spans="1:9" x14ac:dyDescent="0.25">
      <c r="A236" t="s">
        <v>267</v>
      </c>
      <c r="B236" s="1">
        <v>45821</v>
      </c>
      <c r="C236" t="s">
        <v>24</v>
      </c>
      <c r="D236" t="s">
        <v>28</v>
      </c>
      <c r="E236" t="s">
        <v>29</v>
      </c>
      <c r="F236" t="s">
        <v>18</v>
      </c>
      <c r="G236" s="2">
        <v>3450</v>
      </c>
      <c r="H236">
        <f>YEAR(tblServicios[[#This Row],[Fecha]])</f>
        <v>2025</v>
      </c>
      <c r="I236">
        <f>MONTH(tblServicios[[#This Row],[Fecha]])</f>
        <v>6</v>
      </c>
    </row>
    <row r="237" spans="1:9" x14ac:dyDescent="0.25">
      <c r="A237" t="s">
        <v>268</v>
      </c>
      <c r="B237" s="1">
        <v>45826</v>
      </c>
      <c r="C237" t="s">
        <v>15</v>
      </c>
      <c r="D237" t="s">
        <v>69</v>
      </c>
      <c r="E237" t="s">
        <v>29</v>
      </c>
      <c r="F237" t="s">
        <v>13</v>
      </c>
      <c r="G237" s="2">
        <v>2600</v>
      </c>
      <c r="H237">
        <f>YEAR(tblServicios[[#This Row],[Fecha]])</f>
        <v>2025</v>
      </c>
      <c r="I237">
        <f>MONTH(tblServicios[[#This Row],[Fecha]])</f>
        <v>6</v>
      </c>
    </row>
    <row r="238" spans="1:9" x14ac:dyDescent="0.25">
      <c r="A238" t="s">
        <v>269</v>
      </c>
      <c r="B238" s="1">
        <v>45826</v>
      </c>
      <c r="C238" t="s">
        <v>15</v>
      </c>
      <c r="D238" t="s">
        <v>16</v>
      </c>
      <c r="E238" t="s">
        <v>35</v>
      </c>
      <c r="F238" t="s">
        <v>13</v>
      </c>
      <c r="G238" s="2">
        <v>5600</v>
      </c>
      <c r="H238">
        <f>YEAR(tblServicios[[#This Row],[Fecha]])</f>
        <v>2025</v>
      </c>
      <c r="I238">
        <f>MONTH(tblServicios[[#This Row],[Fecha]])</f>
        <v>6</v>
      </c>
    </row>
    <row r="239" spans="1:9" x14ac:dyDescent="0.25">
      <c r="A239" t="s">
        <v>270</v>
      </c>
      <c r="B239" s="1">
        <v>45826</v>
      </c>
      <c r="C239" t="s">
        <v>24</v>
      </c>
      <c r="D239" t="s">
        <v>28</v>
      </c>
      <c r="E239" t="s">
        <v>29</v>
      </c>
      <c r="F239" t="s">
        <v>26</v>
      </c>
      <c r="G239" s="2">
        <v>2050</v>
      </c>
      <c r="H239">
        <f>YEAR(tblServicios[[#This Row],[Fecha]])</f>
        <v>2025</v>
      </c>
      <c r="I239">
        <f>MONTH(tblServicios[[#This Row],[Fecha]])</f>
        <v>6</v>
      </c>
    </row>
    <row r="240" spans="1:9" x14ac:dyDescent="0.25">
      <c r="A240" t="s">
        <v>271</v>
      </c>
      <c r="B240" s="1">
        <v>45828</v>
      </c>
      <c r="C240" t="s">
        <v>10</v>
      </c>
      <c r="D240" t="s">
        <v>11</v>
      </c>
      <c r="E240" t="s">
        <v>12</v>
      </c>
      <c r="F240" t="s">
        <v>26</v>
      </c>
      <c r="G240" s="2">
        <v>5800</v>
      </c>
      <c r="H240">
        <f>YEAR(tblServicios[[#This Row],[Fecha]])</f>
        <v>2025</v>
      </c>
      <c r="I240">
        <f>MONTH(tblServicios[[#This Row],[Fecha]])</f>
        <v>6</v>
      </c>
    </row>
    <row r="241" spans="1:9" x14ac:dyDescent="0.25">
      <c r="A241" t="s">
        <v>272</v>
      </c>
      <c r="B241" s="1">
        <v>45830</v>
      </c>
      <c r="C241" t="s">
        <v>10</v>
      </c>
      <c r="D241" t="s">
        <v>11</v>
      </c>
      <c r="E241" t="s">
        <v>12</v>
      </c>
      <c r="F241" t="s">
        <v>13</v>
      </c>
      <c r="G241" s="2">
        <v>1700</v>
      </c>
      <c r="H241">
        <f>YEAR(tblServicios[[#This Row],[Fecha]])</f>
        <v>2025</v>
      </c>
      <c r="I241">
        <f>MONTH(tblServicios[[#This Row],[Fecha]])</f>
        <v>6</v>
      </c>
    </row>
    <row r="242" spans="1:9" x14ac:dyDescent="0.25">
      <c r="A242" t="s">
        <v>273</v>
      </c>
      <c r="B242" s="1">
        <v>45831</v>
      </c>
      <c r="C242" t="s">
        <v>10</v>
      </c>
      <c r="D242" t="s">
        <v>11</v>
      </c>
      <c r="E242" t="s">
        <v>12</v>
      </c>
      <c r="F242" t="s">
        <v>18</v>
      </c>
      <c r="G242" s="2">
        <v>3800</v>
      </c>
      <c r="H242">
        <f>YEAR(tblServicios[[#This Row],[Fecha]])</f>
        <v>2025</v>
      </c>
      <c r="I242">
        <f>MONTH(tblServicios[[#This Row],[Fecha]])</f>
        <v>6</v>
      </c>
    </row>
    <row r="243" spans="1:9" x14ac:dyDescent="0.25">
      <c r="A243" t="s">
        <v>274</v>
      </c>
      <c r="B243" s="1">
        <v>45831</v>
      </c>
      <c r="C243" t="s">
        <v>47</v>
      </c>
      <c r="D243" t="s">
        <v>33</v>
      </c>
      <c r="E243" t="s">
        <v>22</v>
      </c>
      <c r="F243" t="s">
        <v>18</v>
      </c>
      <c r="G243" s="2">
        <v>12700</v>
      </c>
      <c r="H243">
        <f>YEAR(tblServicios[[#This Row],[Fecha]])</f>
        <v>2025</v>
      </c>
      <c r="I243">
        <f>MONTH(tblServicios[[#This Row],[Fecha]])</f>
        <v>6</v>
      </c>
    </row>
    <row r="244" spans="1:9" x14ac:dyDescent="0.25">
      <c r="A244" t="s">
        <v>275</v>
      </c>
      <c r="B244" s="1">
        <v>45832</v>
      </c>
      <c r="C244" t="s">
        <v>10</v>
      </c>
      <c r="D244" t="s">
        <v>11</v>
      </c>
      <c r="E244" t="s">
        <v>12</v>
      </c>
      <c r="F244" t="s">
        <v>26</v>
      </c>
      <c r="G244" s="2">
        <v>3100</v>
      </c>
      <c r="H244">
        <f>YEAR(tblServicios[[#This Row],[Fecha]])</f>
        <v>2025</v>
      </c>
      <c r="I244">
        <f>MONTH(tblServicios[[#This Row],[Fecha]])</f>
        <v>6</v>
      </c>
    </row>
    <row r="245" spans="1:9" x14ac:dyDescent="0.25">
      <c r="A245" t="s">
        <v>276</v>
      </c>
      <c r="B245" s="1">
        <v>45837</v>
      </c>
      <c r="C245" t="s">
        <v>47</v>
      </c>
      <c r="D245" t="s">
        <v>33</v>
      </c>
      <c r="E245" t="s">
        <v>29</v>
      </c>
      <c r="F245" t="s">
        <v>26</v>
      </c>
      <c r="G245" s="2">
        <v>1250</v>
      </c>
      <c r="H245">
        <f>YEAR(tblServicios[[#This Row],[Fecha]])</f>
        <v>2025</v>
      </c>
      <c r="I245">
        <f>MONTH(tblServicios[[#This Row],[Fecha]])</f>
        <v>6</v>
      </c>
    </row>
    <row r="246" spans="1:9" x14ac:dyDescent="0.25">
      <c r="A246" t="s">
        <v>277</v>
      </c>
      <c r="B246" s="1">
        <v>45841</v>
      </c>
      <c r="C246" t="s">
        <v>15</v>
      </c>
      <c r="D246" t="s">
        <v>33</v>
      </c>
      <c r="E246" t="s">
        <v>22</v>
      </c>
      <c r="F246" t="s">
        <v>13</v>
      </c>
      <c r="G246" s="2">
        <v>6650</v>
      </c>
      <c r="H246">
        <f>YEAR(tblServicios[[#This Row],[Fecha]])</f>
        <v>2025</v>
      </c>
      <c r="I246">
        <f>MONTH(tblServicios[[#This Row],[Fecha]])</f>
        <v>7</v>
      </c>
    </row>
    <row r="247" spans="1:9" x14ac:dyDescent="0.25">
      <c r="A247" t="s">
        <v>278</v>
      </c>
      <c r="B247" s="1">
        <v>45843</v>
      </c>
      <c r="C247" t="s">
        <v>24</v>
      </c>
      <c r="D247" t="s">
        <v>28</v>
      </c>
      <c r="E247" t="s">
        <v>29</v>
      </c>
      <c r="F247" t="s">
        <v>48</v>
      </c>
      <c r="G247" s="2">
        <v>1550</v>
      </c>
      <c r="H247">
        <f>YEAR(tblServicios[[#This Row],[Fecha]])</f>
        <v>2025</v>
      </c>
      <c r="I247">
        <f>MONTH(tblServicios[[#This Row],[Fecha]])</f>
        <v>7</v>
      </c>
    </row>
    <row r="248" spans="1:9" x14ac:dyDescent="0.25">
      <c r="A248" t="s">
        <v>279</v>
      </c>
      <c r="B248" s="1">
        <v>45847</v>
      </c>
      <c r="C248" t="s">
        <v>47</v>
      </c>
      <c r="D248" t="s">
        <v>21</v>
      </c>
      <c r="E248" t="s">
        <v>12</v>
      </c>
      <c r="F248" t="s">
        <v>13</v>
      </c>
      <c r="G248" s="2">
        <v>3650</v>
      </c>
      <c r="H248">
        <f>YEAR(tblServicios[[#This Row],[Fecha]])</f>
        <v>2025</v>
      </c>
      <c r="I248">
        <f>MONTH(tblServicios[[#This Row],[Fecha]])</f>
        <v>7</v>
      </c>
    </row>
    <row r="249" spans="1:9" x14ac:dyDescent="0.25">
      <c r="A249" t="s">
        <v>280</v>
      </c>
      <c r="B249" s="1">
        <v>45847</v>
      </c>
      <c r="C249" t="s">
        <v>47</v>
      </c>
      <c r="D249" t="s">
        <v>25</v>
      </c>
      <c r="E249" t="s">
        <v>35</v>
      </c>
      <c r="F249" t="s">
        <v>18</v>
      </c>
      <c r="G249" s="2">
        <v>14250</v>
      </c>
      <c r="H249">
        <f>YEAR(tblServicios[[#This Row],[Fecha]])</f>
        <v>2025</v>
      </c>
      <c r="I249">
        <f>MONTH(tblServicios[[#This Row],[Fecha]])</f>
        <v>7</v>
      </c>
    </row>
    <row r="250" spans="1:9" x14ac:dyDescent="0.25">
      <c r="A250" t="s">
        <v>281</v>
      </c>
      <c r="B250" s="1">
        <v>45849</v>
      </c>
      <c r="C250" t="s">
        <v>10</v>
      </c>
      <c r="D250" t="s">
        <v>16</v>
      </c>
      <c r="E250" t="s">
        <v>17</v>
      </c>
      <c r="F250" t="s">
        <v>30</v>
      </c>
      <c r="G250" s="2">
        <v>123100</v>
      </c>
      <c r="H250">
        <f>YEAR(tblServicios[[#This Row],[Fecha]])</f>
        <v>2025</v>
      </c>
      <c r="I250">
        <f>MONTH(tblServicios[[#This Row],[Fecha]])</f>
        <v>7</v>
      </c>
    </row>
    <row r="251" spans="1:9" x14ac:dyDescent="0.25">
      <c r="A251" t="s">
        <v>282</v>
      </c>
      <c r="B251" s="1">
        <v>45851</v>
      </c>
      <c r="C251" t="s">
        <v>47</v>
      </c>
      <c r="D251" t="s">
        <v>21</v>
      </c>
      <c r="E251" t="s">
        <v>12</v>
      </c>
      <c r="F251" t="s">
        <v>48</v>
      </c>
      <c r="G251" s="2">
        <v>5850</v>
      </c>
      <c r="H251">
        <f>YEAR(tblServicios[[#This Row],[Fecha]])</f>
        <v>2025</v>
      </c>
      <c r="I251">
        <f>MONTH(tblServicios[[#This Row],[Fecha]])</f>
        <v>7</v>
      </c>
    </row>
    <row r="252" spans="1:9" x14ac:dyDescent="0.25">
      <c r="A252" t="s">
        <v>283</v>
      </c>
      <c r="B252" s="1">
        <v>45853</v>
      </c>
      <c r="C252" t="s">
        <v>47</v>
      </c>
      <c r="D252" t="s">
        <v>25</v>
      </c>
      <c r="E252" t="s">
        <v>17</v>
      </c>
      <c r="F252" t="s">
        <v>18</v>
      </c>
      <c r="G252" s="2">
        <v>151950</v>
      </c>
      <c r="H252">
        <f>YEAR(tblServicios[[#This Row],[Fecha]])</f>
        <v>2025</v>
      </c>
      <c r="I252">
        <f>MONTH(tblServicios[[#This Row],[Fecha]])</f>
        <v>7</v>
      </c>
    </row>
    <row r="253" spans="1:9" x14ac:dyDescent="0.25">
      <c r="A253" t="s">
        <v>284</v>
      </c>
      <c r="B253" s="1">
        <v>45853</v>
      </c>
      <c r="C253" t="s">
        <v>10</v>
      </c>
      <c r="D253" t="s">
        <v>25</v>
      </c>
      <c r="E253" t="s">
        <v>35</v>
      </c>
      <c r="F253" t="s">
        <v>18</v>
      </c>
      <c r="G253" s="2">
        <v>6100</v>
      </c>
      <c r="H253">
        <f>YEAR(tblServicios[[#This Row],[Fecha]])</f>
        <v>2025</v>
      </c>
      <c r="I253">
        <f>MONTH(tblServicios[[#This Row],[Fecha]])</f>
        <v>7</v>
      </c>
    </row>
    <row r="254" spans="1:9" x14ac:dyDescent="0.25">
      <c r="A254" t="s">
        <v>285</v>
      </c>
      <c r="B254" s="1">
        <v>45854</v>
      </c>
      <c r="C254" t="s">
        <v>15</v>
      </c>
      <c r="D254" t="s">
        <v>21</v>
      </c>
      <c r="E254" t="s">
        <v>22</v>
      </c>
      <c r="F254" t="s">
        <v>13</v>
      </c>
      <c r="G254" s="2">
        <v>4650</v>
      </c>
      <c r="H254">
        <f>YEAR(tblServicios[[#This Row],[Fecha]])</f>
        <v>2025</v>
      </c>
      <c r="I254">
        <f>MONTH(tblServicios[[#This Row],[Fecha]])</f>
        <v>7</v>
      </c>
    </row>
    <row r="255" spans="1:9" x14ac:dyDescent="0.25">
      <c r="A255" t="s">
        <v>286</v>
      </c>
      <c r="B255" s="1">
        <v>45855</v>
      </c>
      <c r="C255" t="s">
        <v>15</v>
      </c>
      <c r="D255" t="s">
        <v>11</v>
      </c>
      <c r="E255" t="s">
        <v>12</v>
      </c>
      <c r="F255" t="s">
        <v>45</v>
      </c>
      <c r="G255" s="2">
        <v>4100</v>
      </c>
      <c r="H255">
        <f>YEAR(tblServicios[[#This Row],[Fecha]])</f>
        <v>2025</v>
      </c>
      <c r="I255">
        <f>MONTH(tblServicios[[#This Row],[Fecha]])</f>
        <v>7</v>
      </c>
    </row>
    <row r="256" spans="1:9" x14ac:dyDescent="0.25">
      <c r="A256" t="s">
        <v>287</v>
      </c>
      <c r="B256" s="1">
        <v>45857</v>
      </c>
      <c r="C256" t="s">
        <v>24</v>
      </c>
      <c r="D256" t="s">
        <v>21</v>
      </c>
      <c r="E256" t="s">
        <v>22</v>
      </c>
      <c r="F256" t="s">
        <v>30</v>
      </c>
      <c r="G256" s="2">
        <v>11550</v>
      </c>
      <c r="H256">
        <f>YEAR(tblServicios[[#This Row],[Fecha]])</f>
        <v>2025</v>
      </c>
      <c r="I256">
        <f>MONTH(tblServicios[[#This Row],[Fecha]])</f>
        <v>7</v>
      </c>
    </row>
    <row r="257" spans="1:9" x14ac:dyDescent="0.25">
      <c r="A257" t="s">
        <v>288</v>
      </c>
      <c r="B257" s="1">
        <v>45857</v>
      </c>
      <c r="C257" t="s">
        <v>15</v>
      </c>
      <c r="D257" t="s">
        <v>69</v>
      </c>
      <c r="E257" t="s">
        <v>29</v>
      </c>
      <c r="F257" t="s">
        <v>18</v>
      </c>
      <c r="G257" s="2">
        <v>2250</v>
      </c>
      <c r="H257">
        <f>YEAR(tblServicios[[#This Row],[Fecha]])</f>
        <v>2025</v>
      </c>
      <c r="I257">
        <f>MONTH(tblServicios[[#This Row],[Fecha]])</f>
        <v>7</v>
      </c>
    </row>
    <row r="258" spans="1:9" x14ac:dyDescent="0.25">
      <c r="A258" t="s">
        <v>289</v>
      </c>
      <c r="B258" s="1">
        <v>45860</v>
      </c>
      <c r="C258" t="s">
        <v>47</v>
      </c>
      <c r="D258" t="s">
        <v>33</v>
      </c>
      <c r="E258" t="s">
        <v>29</v>
      </c>
      <c r="F258" t="s">
        <v>48</v>
      </c>
      <c r="G258" s="2">
        <v>2750</v>
      </c>
      <c r="H258">
        <f>YEAR(tblServicios[[#This Row],[Fecha]])</f>
        <v>2025</v>
      </c>
      <c r="I258">
        <f>MONTH(tblServicios[[#This Row],[Fecha]])</f>
        <v>7</v>
      </c>
    </row>
    <row r="259" spans="1:9" x14ac:dyDescent="0.25">
      <c r="A259" t="s">
        <v>290</v>
      </c>
      <c r="B259" s="1">
        <v>45865</v>
      </c>
      <c r="C259" t="s">
        <v>10</v>
      </c>
      <c r="D259" t="s">
        <v>28</v>
      </c>
      <c r="E259" t="s">
        <v>29</v>
      </c>
      <c r="F259" t="s">
        <v>13</v>
      </c>
      <c r="G259" s="2">
        <v>1350</v>
      </c>
      <c r="H259">
        <f>YEAR(tblServicios[[#This Row],[Fecha]])</f>
        <v>2025</v>
      </c>
      <c r="I259">
        <f>MONTH(tblServicios[[#This Row],[Fecha]])</f>
        <v>7</v>
      </c>
    </row>
    <row r="260" spans="1:9" x14ac:dyDescent="0.25">
      <c r="A260" t="s">
        <v>291</v>
      </c>
      <c r="B260" s="1">
        <v>45865</v>
      </c>
      <c r="C260" t="s">
        <v>15</v>
      </c>
      <c r="D260" t="s">
        <v>69</v>
      </c>
      <c r="E260" t="s">
        <v>29</v>
      </c>
      <c r="F260" t="s">
        <v>30</v>
      </c>
      <c r="G260" s="2">
        <v>2850</v>
      </c>
      <c r="H260">
        <f>YEAR(tblServicios[[#This Row],[Fecha]])</f>
        <v>2025</v>
      </c>
      <c r="I260">
        <f>MONTH(tblServicios[[#This Row],[Fecha]])</f>
        <v>7</v>
      </c>
    </row>
    <row r="261" spans="1:9" x14ac:dyDescent="0.25">
      <c r="A261" t="s">
        <v>292</v>
      </c>
      <c r="B261" s="1">
        <v>45868</v>
      </c>
      <c r="C261" t="s">
        <v>15</v>
      </c>
      <c r="D261" t="s">
        <v>33</v>
      </c>
      <c r="E261" t="s">
        <v>29</v>
      </c>
      <c r="F261" t="s">
        <v>13</v>
      </c>
      <c r="G261" s="2">
        <v>1600</v>
      </c>
      <c r="H261">
        <f>YEAR(tblServicios[[#This Row],[Fecha]])</f>
        <v>2025</v>
      </c>
      <c r="I261">
        <f>MONTH(tblServicios[[#This Row],[Fecha]])</f>
        <v>7</v>
      </c>
    </row>
    <row r="262" spans="1:9" x14ac:dyDescent="0.25">
      <c r="A262" t="s">
        <v>293</v>
      </c>
      <c r="B262" s="1">
        <v>45868</v>
      </c>
      <c r="C262" t="s">
        <v>15</v>
      </c>
      <c r="D262" t="s">
        <v>11</v>
      </c>
      <c r="E262" t="s">
        <v>12</v>
      </c>
      <c r="F262" t="s">
        <v>26</v>
      </c>
      <c r="G262" s="2">
        <v>5500</v>
      </c>
      <c r="H262">
        <f>YEAR(tblServicios[[#This Row],[Fecha]])</f>
        <v>2025</v>
      </c>
      <c r="I262">
        <f>MONTH(tblServicios[[#This Row],[Fecha]])</f>
        <v>7</v>
      </c>
    </row>
    <row r="263" spans="1:9" x14ac:dyDescent="0.25">
      <c r="A263" t="s">
        <v>294</v>
      </c>
      <c r="B263" s="1">
        <v>45870</v>
      </c>
      <c r="C263" t="s">
        <v>20</v>
      </c>
      <c r="D263" t="s">
        <v>21</v>
      </c>
      <c r="E263" t="s">
        <v>22</v>
      </c>
      <c r="F263" t="s">
        <v>13</v>
      </c>
      <c r="G263" s="2">
        <v>14650</v>
      </c>
      <c r="H263">
        <f>YEAR(tblServicios[[#This Row],[Fecha]])</f>
        <v>2025</v>
      </c>
      <c r="I263">
        <f>MONTH(tblServicios[[#This Row],[Fecha]])</f>
        <v>8</v>
      </c>
    </row>
    <row r="264" spans="1:9" x14ac:dyDescent="0.25">
      <c r="A264" t="s">
        <v>295</v>
      </c>
      <c r="B264" s="1">
        <v>45871</v>
      </c>
      <c r="C264" t="s">
        <v>15</v>
      </c>
      <c r="D264" t="s">
        <v>21</v>
      </c>
      <c r="E264" t="s">
        <v>12</v>
      </c>
      <c r="F264" t="s">
        <v>13</v>
      </c>
      <c r="G264" s="2">
        <v>2100</v>
      </c>
      <c r="H264">
        <f>YEAR(tblServicios[[#This Row],[Fecha]])</f>
        <v>2025</v>
      </c>
      <c r="I264">
        <f>MONTH(tblServicios[[#This Row],[Fecha]])</f>
        <v>8</v>
      </c>
    </row>
    <row r="265" spans="1:9" x14ac:dyDescent="0.25">
      <c r="A265" t="s">
        <v>296</v>
      </c>
      <c r="B265" s="1">
        <v>45871</v>
      </c>
      <c r="C265" t="s">
        <v>15</v>
      </c>
      <c r="D265" t="s">
        <v>69</v>
      </c>
      <c r="E265" t="s">
        <v>29</v>
      </c>
      <c r="F265" t="s">
        <v>18</v>
      </c>
      <c r="G265" s="2">
        <v>3150</v>
      </c>
      <c r="H265">
        <f>YEAR(tblServicios[[#This Row],[Fecha]])</f>
        <v>2025</v>
      </c>
      <c r="I265">
        <f>MONTH(tblServicios[[#This Row],[Fecha]])</f>
        <v>8</v>
      </c>
    </row>
    <row r="266" spans="1:9" x14ac:dyDescent="0.25">
      <c r="A266" t="s">
        <v>297</v>
      </c>
      <c r="B266" s="1">
        <v>45875</v>
      </c>
      <c r="C266" t="s">
        <v>24</v>
      </c>
      <c r="D266" t="s">
        <v>11</v>
      </c>
      <c r="E266" t="s">
        <v>12</v>
      </c>
      <c r="F266" t="s">
        <v>48</v>
      </c>
      <c r="G266" s="2">
        <v>4050</v>
      </c>
      <c r="H266">
        <f>YEAR(tblServicios[[#This Row],[Fecha]])</f>
        <v>2025</v>
      </c>
      <c r="I266">
        <f>MONTH(tblServicios[[#This Row],[Fecha]])</f>
        <v>8</v>
      </c>
    </row>
    <row r="267" spans="1:9" x14ac:dyDescent="0.25">
      <c r="A267" t="s">
        <v>298</v>
      </c>
      <c r="B267" s="1">
        <v>45876</v>
      </c>
      <c r="C267" t="s">
        <v>20</v>
      </c>
      <c r="D267" t="s">
        <v>28</v>
      </c>
      <c r="E267" t="s">
        <v>12</v>
      </c>
      <c r="F267" t="s">
        <v>48</v>
      </c>
      <c r="G267" s="2">
        <v>5700</v>
      </c>
      <c r="H267">
        <f>YEAR(tblServicios[[#This Row],[Fecha]])</f>
        <v>2025</v>
      </c>
      <c r="I267">
        <f>MONTH(tblServicios[[#This Row],[Fecha]])</f>
        <v>8</v>
      </c>
    </row>
    <row r="268" spans="1:9" x14ac:dyDescent="0.25">
      <c r="A268" t="s">
        <v>299</v>
      </c>
      <c r="B268" s="1">
        <v>45878</v>
      </c>
      <c r="C268" t="s">
        <v>15</v>
      </c>
      <c r="D268" t="s">
        <v>25</v>
      </c>
      <c r="E268" t="s">
        <v>17</v>
      </c>
      <c r="F268" t="s">
        <v>13</v>
      </c>
      <c r="G268" s="2">
        <v>85300</v>
      </c>
      <c r="H268">
        <f>YEAR(tblServicios[[#This Row],[Fecha]])</f>
        <v>2025</v>
      </c>
      <c r="I268">
        <f>MONTH(tblServicios[[#This Row],[Fecha]])</f>
        <v>8</v>
      </c>
    </row>
    <row r="269" spans="1:9" x14ac:dyDescent="0.25">
      <c r="A269" t="s">
        <v>300</v>
      </c>
      <c r="B269" s="1">
        <v>45884</v>
      </c>
      <c r="C269" t="s">
        <v>10</v>
      </c>
      <c r="D269" t="s">
        <v>28</v>
      </c>
      <c r="E269" t="s">
        <v>29</v>
      </c>
      <c r="F269" t="s">
        <v>26</v>
      </c>
      <c r="G269" s="2">
        <v>3000</v>
      </c>
      <c r="H269">
        <f>YEAR(tblServicios[[#This Row],[Fecha]])</f>
        <v>2025</v>
      </c>
      <c r="I269">
        <f>MONTH(tblServicios[[#This Row],[Fecha]])</f>
        <v>8</v>
      </c>
    </row>
    <row r="270" spans="1:9" x14ac:dyDescent="0.25">
      <c r="A270" t="s">
        <v>301</v>
      </c>
      <c r="B270" s="1">
        <v>45884</v>
      </c>
      <c r="C270" t="s">
        <v>24</v>
      </c>
      <c r="D270" t="s">
        <v>28</v>
      </c>
      <c r="E270" t="s">
        <v>29</v>
      </c>
      <c r="F270" t="s">
        <v>18</v>
      </c>
      <c r="G270" s="2">
        <v>1400</v>
      </c>
      <c r="H270">
        <f>YEAR(tblServicios[[#This Row],[Fecha]])</f>
        <v>2025</v>
      </c>
      <c r="I270">
        <f>MONTH(tblServicios[[#This Row],[Fecha]])</f>
        <v>8</v>
      </c>
    </row>
    <row r="271" spans="1:9" x14ac:dyDescent="0.25">
      <c r="A271" t="s">
        <v>302</v>
      </c>
      <c r="B271" s="1">
        <v>45884</v>
      </c>
      <c r="C271" t="s">
        <v>47</v>
      </c>
      <c r="D271" t="s">
        <v>39</v>
      </c>
      <c r="E271" t="s">
        <v>29</v>
      </c>
      <c r="F271" t="s">
        <v>30</v>
      </c>
      <c r="G271" s="2">
        <v>3250</v>
      </c>
      <c r="H271">
        <f>YEAR(tblServicios[[#This Row],[Fecha]])</f>
        <v>2025</v>
      </c>
      <c r="I271">
        <f>MONTH(tblServicios[[#This Row],[Fecha]])</f>
        <v>8</v>
      </c>
    </row>
    <row r="272" spans="1:9" x14ac:dyDescent="0.25">
      <c r="A272" t="s">
        <v>303</v>
      </c>
      <c r="B272" s="1">
        <v>45885</v>
      </c>
      <c r="C272" t="s">
        <v>15</v>
      </c>
      <c r="D272" t="s">
        <v>21</v>
      </c>
      <c r="E272" t="s">
        <v>12</v>
      </c>
      <c r="F272" t="s">
        <v>26</v>
      </c>
      <c r="G272" s="2">
        <v>3300</v>
      </c>
      <c r="H272">
        <f>YEAR(tblServicios[[#This Row],[Fecha]])</f>
        <v>2025</v>
      </c>
      <c r="I272">
        <f>MONTH(tblServicios[[#This Row],[Fecha]])</f>
        <v>8</v>
      </c>
    </row>
    <row r="273" spans="1:9" x14ac:dyDescent="0.25">
      <c r="A273" t="s">
        <v>304</v>
      </c>
      <c r="B273" s="1">
        <v>45886</v>
      </c>
      <c r="C273" t="s">
        <v>10</v>
      </c>
      <c r="D273" t="s">
        <v>39</v>
      </c>
      <c r="E273" t="s">
        <v>29</v>
      </c>
      <c r="F273" t="s">
        <v>45</v>
      </c>
      <c r="G273" s="2">
        <v>3050</v>
      </c>
      <c r="H273">
        <f>YEAR(tblServicios[[#This Row],[Fecha]])</f>
        <v>2025</v>
      </c>
      <c r="I273">
        <f>MONTH(tblServicios[[#This Row],[Fecha]])</f>
        <v>8</v>
      </c>
    </row>
    <row r="274" spans="1:9" x14ac:dyDescent="0.25">
      <c r="A274" t="s">
        <v>305</v>
      </c>
      <c r="B274" s="1">
        <v>45890</v>
      </c>
      <c r="C274" t="s">
        <v>15</v>
      </c>
      <c r="D274" t="s">
        <v>39</v>
      </c>
      <c r="E274" t="s">
        <v>29</v>
      </c>
      <c r="F274" t="s">
        <v>45</v>
      </c>
      <c r="G274" s="2">
        <v>2300</v>
      </c>
      <c r="H274">
        <f>YEAR(tblServicios[[#This Row],[Fecha]])</f>
        <v>2025</v>
      </c>
      <c r="I274">
        <f>MONTH(tblServicios[[#This Row],[Fecha]])</f>
        <v>8</v>
      </c>
    </row>
    <row r="275" spans="1:9" x14ac:dyDescent="0.25">
      <c r="A275" t="s">
        <v>306</v>
      </c>
      <c r="B275" s="1">
        <v>45890</v>
      </c>
      <c r="C275" t="s">
        <v>15</v>
      </c>
      <c r="D275" t="s">
        <v>39</v>
      </c>
      <c r="E275" t="s">
        <v>29</v>
      </c>
      <c r="F275" t="s">
        <v>18</v>
      </c>
      <c r="G275" s="2">
        <v>1150</v>
      </c>
      <c r="H275">
        <f>YEAR(tblServicios[[#This Row],[Fecha]])</f>
        <v>2025</v>
      </c>
      <c r="I275">
        <f>MONTH(tblServicios[[#This Row],[Fecha]])</f>
        <v>8</v>
      </c>
    </row>
    <row r="276" spans="1:9" x14ac:dyDescent="0.25">
      <c r="A276" t="s">
        <v>307</v>
      </c>
      <c r="B276" s="1">
        <v>45891</v>
      </c>
      <c r="C276" t="s">
        <v>15</v>
      </c>
      <c r="D276" t="s">
        <v>21</v>
      </c>
      <c r="E276" t="s">
        <v>22</v>
      </c>
      <c r="F276" t="s">
        <v>26</v>
      </c>
      <c r="G276" s="2">
        <v>15000</v>
      </c>
      <c r="H276">
        <f>YEAR(tblServicios[[#This Row],[Fecha]])</f>
        <v>2025</v>
      </c>
      <c r="I276">
        <f>MONTH(tblServicios[[#This Row],[Fecha]])</f>
        <v>8</v>
      </c>
    </row>
    <row r="277" spans="1:9" x14ac:dyDescent="0.25">
      <c r="A277" t="s">
        <v>308</v>
      </c>
      <c r="B277" s="1">
        <v>45894</v>
      </c>
      <c r="C277" t="s">
        <v>10</v>
      </c>
      <c r="D277" t="s">
        <v>69</v>
      </c>
      <c r="E277" t="s">
        <v>17</v>
      </c>
      <c r="F277" t="s">
        <v>13</v>
      </c>
      <c r="G277" s="2">
        <v>125850</v>
      </c>
      <c r="H277">
        <f>YEAR(tblServicios[[#This Row],[Fecha]])</f>
        <v>2025</v>
      </c>
      <c r="I277">
        <f>MONTH(tblServicios[[#This Row],[Fecha]])</f>
        <v>8</v>
      </c>
    </row>
    <row r="278" spans="1:9" x14ac:dyDescent="0.25">
      <c r="A278" t="s">
        <v>309</v>
      </c>
      <c r="B278" s="1">
        <v>45898</v>
      </c>
      <c r="C278" t="s">
        <v>20</v>
      </c>
      <c r="D278" t="s">
        <v>11</v>
      </c>
      <c r="E278" t="s">
        <v>12</v>
      </c>
      <c r="F278" t="s">
        <v>30</v>
      </c>
      <c r="G278" s="2">
        <v>5150</v>
      </c>
      <c r="H278">
        <f>YEAR(tblServicios[[#This Row],[Fecha]])</f>
        <v>2025</v>
      </c>
      <c r="I278">
        <f>MONTH(tblServicios[[#This Row],[Fecha]])</f>
        <v>8</v>
      </c>
    </row>
    <row r="279" spans="1:9" x14ac:dyDescent="0.25">
      <c r="A279" t="s">
        <v>310</v>
      </c>
      <c r="B279" s="1">
        <v>45899</v>
      </c>
      <c r="C279" t="s">
        <v>20</v>
      </c>
      <c r="D279" t="s">
        <v>39</v>
      </c>
      <c r="E279" t="s">
        <v>29</v>
      </c>
      <c r="F279" t="s">
        <v>18</v>
      </c>
      <c r="G279" s="2">
        <v>2000</v>
      </c>
      <c r="H279">
        <f>YEAR(tblServicios[[#This Row],[Fecha]])</f>
        <v>2025</v>
      </c>
      <c r="I279">
        <f>MONTH(tblServicios[[#This Row],[Fecha]])</f>
        <v>8</v>
      </c>
    </row>
    <row r="280" spans="1:9" x14ac:dyDescent="0.25">
      <c r="A280" t="s">
        <v>311</v>
      </c>
      <c r="B280" s="1">
        <v>45901</v>
      </c>
      <c r="C280" t="s">
        <v>47</v>
      </c>
      <c r="D280" t="s">
        <v>11</v>
      </c>
      <c r="E280" t="s">
        <v>12</v>
      </c>
      <c r="F280" t="s">
        <v>18</v>
      </c>
      <c r="G280" s="2">
        <v>3100</v>
      </c>
      <c r="H280">
        <f>YEAR(tblServicios[[#This Row],[Fecha]])</f>
        <v>2025</v>
      </c>
      <c r="I280">
        <f>MONTH(tblServicios[[#This Row],[Fecha]])</f>
        <v>9</v>
      </c>
    </row>
    <row r="281" spans="1:9" x14ac:dyDescent="0.25">
      <c r="A281" t="s">
        <v>312</v>
      </c>
      <c r="B281" s="1">
        <v>45901</v>
      </c>
      <c r="C281" t="s">
        <v>10</v>
      </c>
      <c r="D281" t="s">
        <v>28</v>
      </c>
      <c r="E281" t="s">
        <v>29</v>
      </c>
      <c r="F281" t="s">
        <v>13</v>
      </c>
      <c r="G281" s="2">
        <v>2150</v>
      </c>
      <c r="H281">
        <f>YEAR(tblServicios[[#This Row],[Fecha]])</f>
        <v>2025</v>
      </c>
      <c r="I281">
        <f>MONTH(tblServicios[[#This Row],[Fecha]])</f>
        <v>9</v>
      </c>
    </row>
    <row r="282" spans="1:9" x14ac:dyDescent="0.25">
      <c r="A282" t="s">
        <v>313</v>
      </c>
      <c r="B282" s="1">
        <v>45902</v>
      </c>
      <c r="C282" t="s">
        <v>47</v>
      </c>
      <c r="D282" t="s">
        <v>28</v>
      </c>
      <c r="E282" t="s">
        <v>29</v>
      </c>
      <c r="F282" t="s">
        <v>48</v>
      </c>
      <c r="G282" s="2">
        <v>3350</v>
      </c>
      <c r="H282">
        <f>YEAR(tblServicios[[#This Row],[Fecha]])</f>
        <v>2025</v>
      </c>
      <c r="I282">
        <f>MONTH(tblServicios[[#This Row],[Fecha]])</f>
        <v>9</v>
      </c>
    </row>
    <row r="283" spans="1:9" x14ac:dyDescent="0.25">
      <c r="A283" t="s">
        <v>314</v>
      </c>
      <c r="B283" s="1">
        <v>45911</v>
      </c>
      <c r="C283" t="s">
        <v>20</v>
      </c>
      <c r="D283" t="s">
        <v>25</v>
      </c>
      <c r="E283" t="s">
        <v>17</v>
      </c>
      <c r="F283" t="s">
        <v>26</v>
      </c>
      <c r="G283" s="2">
        <v>78500</v>
      </c>
      <c r="H283">
        <f>YEAR(tblServicios[[#This Row],[Fecha]])</f>
        <v>2025</v>
      </c>
      <c r="I283">
        <f>MONTH(tblServicios[[#This Row],[Fecha]])</f>
        <v>9</v>
      </c>
    </row>
    <row r="284" spans="1:9" x14ac:dyDescent="0.25">
      <c r="A284" t="s">
        <v>315</v>
      </c>
      <c r="B284" s="1">
        <v>45911</v>
      </c>
      <c r="C284" t="s">
        <v>10</v>
      </c>
      <c r="D284" t="s">
        <v>11</v>
      </c>
      <c r="E284" t="s">
        <v>12</v>
      </c>
      <c r="F284" t="s">
        <v>13</v>
      </c>
      <c r="G284" s="2">
        <v>5900</v>
      </c>
      <c r="H284">
        <f>YEAR(tblServicios[[#This Row],[Fecha]])</f>
        <v>2025</v>
      </c>
      <c r="I284">
        <f>MONTH(tblServicios[[#This Row],[Fecha]])</f>
        <v>9</v>
      </c>
    </row>
    <row r="285" spans="1:9" x14ac:dyDescent="0.25">
      <c r="A285" t="s">
        <v>316</v>
      </c>
      <c r="B285" s="1">
        <v>45915</v>
      </c>
      <c r="C285" t="s">
        <v>15</v>
      </c>
      <c r="D285" t="s">
        <v>25</v>
      </c>
      <c r="E285" t="s">
        <v>35</v>
      </c>
      <c r="F285" t="s">
        <v>18</v>
      </c>
      <c r="G285" s="2">
        <v>10600</v>
      </c>
      <c r="H285">
        <f>YEAR(tblServicios[[#This Row],[Fecha]])</f>
        <v>2025</v>
      </c>
      <c r="I285">
        <f>MONTH(tblServicios[[#This Row],[Fecha]])</f>
        <v>9</v>
      </c>
    </row>
    <row r="286" spans="1:9" x14ac:dyDescent="0.25">
      <c r="A286" t="s">
        <v>317</v>
      </c>
      <c r="B286" s="1">
        <v>45915</v>
      </c>
      <c r="C286" t="s">
        <v>20</v>
      </c>
      <c r="D286" t="s">
        <v>33</v>
      </c>
      <c r="E286" t="s">
        <v>29</v>
      </c>
      <c r="F286" t="s">
        <v>18</v>
      </c>
      <c r="G286" s="2">
        <v>2900</v>
      </c>
      <c r="H286">
        <f>YEAR(tblServicios[[#This Row],[Fecha]])</f>
        <v>2025</v>
      </c>
      <c r="I286">
        <f>MONTH(tblServicios[[#This Row],[Fecha]])</f>
        <v>9</v>
      </c>
    </row>
    <row r="287" spans="1:9" x14ac:dyDescent="0.25">
      <c r="A287" t="s">
        <v>318</v>
      </c>
      <c r="B287" s="1">
        <v>45918</v>
      </c>
      <c r="C287" t="s">
        <v>20</v>
      </c>
      <c r="D287" t="s">
        <v>11</v>
      </c>
      <c r="E287" t="s">
        <v>12</v>
      </c>
      <c r="F287" t="s">
        <v>45</v>
      </c>
      <c r="G287" s="2">
        <v>5650</v>
      </c>
      <c r="H287">
        <f>YEAR(tblServicios[[#This Row],[Fecha]])</f>
        <v>2025</v>
      </c>
      <c r="I287">
        <f>MONTH(tblServicios[[#This Row],[Fecha]])</f>
        <v>9</v>
      </c>
    </row>
    <row r="288" spans="1:9" x14ac:dyDescent="0.25">
      <c r="A288" t="s">
        <v>319</v>
      </c>
      <c r="B288" s="1">
        <v>45919</v>
      </c>
      <c r="C288" t="s">
        <v>20</v>
      </c>
      <c r="D288" t="s">
        <v>39</v>
      </c>
      <c r="E288" t="s">
        <v>29</v>
      </c>
      <c r="F288" t="s">
        <v>45</v>
      </c>
      <c r="G288" s="2">
        <v>2950</v>
      </c>
      <c r="H288">
        <f>YEAR(tblServicios[[#This Row],[Fecha]])</f>
        <v>2025</v>
      </c>
      <c r="I288">
        <f>MONTH(tblServicios[[#This Row],[Fecha]])</f>
        <v>9</v>
      </c>
    </row>
    <row r="289" spans="1:9" x14ac:dyDescent="0.25">
      <c r="A289" t="s">
        <v>320</v>
      </c>
      <c r="B289" s="1">
        <v>45920</v>
      </c>
      <c r="C289" t="s">
        <v>20</v>
      </c>
      <c r="D289" t="s">
        <v>21</v>
      </c>
      <c r="E289" t="s">
        <v>12</v>
      </c>
      <c r="F289" t="s">
        <v>45</v>
      </c>
      <c r="G289" s="2">
        <v>5400</v>
      </c>
      <c r="H289">
        <f>YEAR(tblServicios[[#This Row],[Fecha]])</f>
        <v>2025</v>
      </c>
      <c r="I289">
        <f>MONTH(tblServicios[[#This Row],[Fecha]])</f>
        <v>9</v>
      </c>
    </row>
    <row r="290" spans="1:9" x14ac:dyDescent="0.25">
      <c r="A290" t="s">
        <v>321</v>
      </c>
      <c r="B290" s="1">
        <v>45920</v>
      </c>
      <c r="C290" t="s">
        <v>10</v>
      </c>
      <c r="D290" t="s">
        <v>16</v>
      </c>
      <c r="E290" t="s">
        <v>35</v>
      </c>
      <c r="F290" t="s">
        <v>18</v>
      </c>
      <c r="G290" s="2">
        <v>13450</v>
      </c>
      <c r="H290">
        <f>YEAR(tblServicios[[#This Row],[Fecha]])</f>
        <v>2025</v>
      </c>
      <c r="I290">
        <f>MONTH(tblServicios[[#This Row],[Fecha]])</f>
        <v>9</v>
      </c>
    </row>
    <row r="291" spans="1:9" x14ac:dyDescent="0.25">
      <c r="A291" t="s">
        <v>322</v>
      </c>
      <c r="B291" s="1">
        <v>45921</v>
      </c>
      <c r="C291" t="s">
        <v>24</v>
      </c>
      <c r="D291" t="s">
        <v>33</v>
      </c>
      <c r="E291" t="s">
        <v>29</v>
      </c>
      <c r="F291" t="s">
        <v>45</v>
      </c>
      <c r="G291" s="2">
        <v>1550</v>
      </c>
      <c r="H291">
        <f>YEAR(tblServicios[[#This Row],[Fecha]])</f>
        <v>2025</v>
      </c>
      <c r="I291">
        <f>MONTH(tblServicios[[#This Row],[Fecha]])</f>
        <v>9</v>
      </c>
    </row>
    <row r="292" spans="1:9" x14ac:dyDescent="0.25">
      <c r="A292" t="s">
        <v>323</v>
      </c>
      <c r="B292" s="1">
        <v>45924</v>
      </c>
      <c r="C292" t="s">
        <v>10</v>
      </c>
      <c r="D292" t="s">
        <v>28</v>
      </c>
      <c r="E292" t="s">
        <v>29</v>
      </c>
      <c r="F292" t="s">
        <v>13</v>
      </c>
      <c r="G292" s="2">
        <v>2150</v>
      </c>
      <c r="H292">
        <f>YEAR(tblServicios[[#This Row],[Fecha]])</f>
        <v>2025</v>
      </c>
      <c r="I292">
        <f>MONTH(tblServicios[[#This Row],[Fecha]])</f>
        <v>9</v>
      </c>
    </row>
    <row r="293" spans="1:9" x14ac:dyDescent="0.25">
      <c r="A293" t="s">
        <v>324</v>
      </c>
      <c r="B293" s="1">
        <v>45924</v>
      </c>
      <c r="C293" t="s">
        <v>47</v>
      </c>
      <c r="D293" t="s">
        <v>11</v>
      </c>
      <c r="E293" t="s">
        <v>12</v>
      </c>
      <c r="F293" t="s">
        <v>26</v>
      </c>
      <c r="G293" s="2">
        <v>1600</v>
      </c>
      <c r="H293">
        <f>YEAR(tblServicios[[#This Row],[Fecha]])</f>
        <v>2025</v>
      </c>
      <c r="I293">
        <f>MONTH(tblServicios[[#This Row],[Fecha]])</f>
        <v>9</v>
      </c>
    </row>
    <row r="294" spans="1:9" x14ac:dyDescent="0.25">
      <c r="A294" t="s">
        <v>325</v>
      </c>
      <c r="B294" s="1">
        <v>45925</v>
      </c>
      <c r="C294" t="s">
        <v>47</v>
      </c>
      <c r="D294" t="s">
        <v>39</v>
      </c>
      <c r="E294" t="s">
        <v>29</v>
      </c>
      <c r="F294" t="s">
        <v>18</v>
      </c>
      <c r="G294" s="2">
        <v>1650</v>
      </c>
      <c r="H294">
        <f>YEAR(tblServicios[[#This Row],[Fecha]])</f>
        <v>2025</v>
      </c>
      <c r="I294">
        <f>MONTH(tblServicios[[#This Row],[Fecha]])</f>
        <v>9</v>
      </c>
    </row>
    <row r="295" spans="1:9" x14ac:dyDescent="0.25">
      <c r="A295" t="s">
        <v>326</v>
      </c>
      <c r="B295" s="1">
        <v>45929</v>
      </c>
      <c r="C295" t="s">
        <v>20</v>
      </c>
      <c r="D295" t="s">
        <v>25</v>
      </c>
      <c r="E295" t="s">
        <v>17</v>
      </c>
      <c r="F295" t="s">
        <v>30</v>
      </c>
      <c r="G295" s="2">
        <v>125500</v>
      </c>
      <c r="H295">
        <f>YEAR(tblServicios[[#This Row],[Fecha]])</f>
        <v>2025</v>
      </c>
      <c r="I295">
        <f>MONTH(tblServicios[[#This Row],[Fecha]])</f>
        <v>9</v>
      </c>
    </row>
    <row r="296" spans="1:9" x14ac:dyDescent="0.25">
      <c r="A296" t="s">
        <v>327</v>
      </c>
      <c r="B296" s="1">
        <v>45930</v>
      </c>
      <c r="C296" t="s">
        <v>24</v>
      </c>
      <c r="D296" t="s">
        <v>21</v>
      </c>
      <c r="E296" t="s">
        <v>22</v>
      </c>
      <c r="F296" t="s">
        <v>18</v>
      </c>
      <c r="G296" s="2">
        <v>14100</v>
      </c>
      <c r="H296">
        <f>YEAR(tblServicios[[#This Row],[Fecha]])</f>
        <v>2025</v>
      </c>
      <c r="I296">
        <f>MONTH(tblServicios[[#This Row],[Fecha]])</f>
        <v>9</v>
      </c>
    </row>
    <row r="297" spans="1:9" x14ac:dyDescent="0.25">
      <c r="A297" t="s">
        <v>328</v>
      </c>
      <c r="B297" s="1">
        <v>45931</v>
      </c>
      <c r="C297" t="s">
        <v>24</v>
      </c>
      <c r="D297" t="s">
        <v>21</v>
      </c>
      <c r="E297" t="s">
        <v>12</v>
      </c>
      <c r="F297" t="s">
        <v>48</v>
      </c>
      <c r="G297" s="2">
        <v>5350</v>
      </c>
      <c r="H297">
        <f>YEAR(tblServicios[[#This Row],[Fecha]])</f>
        <v>2025</v>
      </c>
      <c r="I297">
        <f>MONTH(tblServicios[[#This Row],[Fecha]])</f>
        <v>10</v>
      </c>
    </row>
    <row r="298" spans="1:9" x14ac:dyDescent="0.25">
      <c r="A298" t="s">
        <v>329</v>
      </c>
      <c r="B298" s="1">
        <v>45938</v>
      </c>
      <c r="C298" t="s">
        <v>15</v>
      </c>
      <c r="D298" t="s">
        <v>16</v>
      </c>
      <c r="E298" t="s">
        <v>17</v>
      </c>
      <c r="F298" t="s">
        <v>13</v>
      </c>
      <c r="G298" s="2">
        <v>47900</v>
      </c>
      <c r="H298">
        <f>YEAR(tblServicios[[#This Row],[Fecha]])</f>
        <v>2025</v>
      </c>
      <c r="I298">
        <f>MONTH(tblServicios[[#This Row],[Fecha]])</f>
        <v>10</v>
      </c>
    </row>
    <row r="299" spans="1:9" x14ac:dyDescent="0.25">
      <c r="A299" t="s">
        <v>330</v>
      </c>
      <c r="B299" s="1">
        <v>45940</v>
      </c>
      <c r="C299" t="s">
        <v>24</v>
      </c>
      <c r="D299" t="s">
        <v>33</v>
      </c>
      <c r="E299" t="s">
        <v>22</v>
      </c>
      <c r="F299" t="s">
        <v>26</v>
      </c>
      <c r="G299" s="2">
        <v>13400</v>
      </c>
      <c r="H299">
        <f>YEAR(tblServicios[[#This Row],[Fecha]])</f>
        <v>2025</v>
      </c>
      <c r="I299">
        <f>MONTH(tblServicios[[#This Row],[Fecha]])</f>
        <v>10</v>
      </c>
    </row>
    <row r="300" spans="1:9" x14ac:dyDescent="0.25">
      <c r="A300" t="s">
        <v>331</v>
      </c>
      <c r="B300" s="1">
        <v>45941</v>
      </c>
      <c r="C300" t="s">
        <v>10</v>
      </c>
      <c r="D300" t="s">
        <v>25</v>
      </c>
      <c r="E300" t="s">
        <v>35</v>
      </c>
      <c r="F300" t="s">
        <v>45</v>
      </c>
      <c r="G300" s="2">
        <v>5450</v>
      </c>
      <c r="H300">
        <f>YEAR(tblServicios[[#This Row],[Fecha]])</f>
        <v>2025</v>
      </c>
      <c r="I300">
        <f>MONTH(tblServicios[[#This Row],[Fecha]])</f>
        <v>10</v>
      </c>
    </row>
    <row r="301" spans="1:9" x14ac:dyDescent="0.25">
      <c r="A301" t="s">
        <v>332</v>
      </c>
      <c r="B301" s="1">
        <v>45941</v>
      </c>
      <c r="C301" t="s">
        <v>15</v>
      </c>
      <c r="D301" t="s">
        <v>69</v>
      </c>
      <c r="E301" t="s">
        <v>29</v>
      </c>
      <c r="F301" t="s">
        <v>13</v>
      </c>
      <c r="G301" s="2">
        <v>2300</v>
      </c>
      <c r="H301">
        <f>YEAR(tblServicios[[#This Row],[Fecha]])</f>
        <v>2025</v>
      </c>
      <c r="I301">
        <f>MONTH(tblServicios[[#This Row],[Fecha]])</f>
        <v>10</v>
      </c>
    </row>
    <row r="302" spans="1:9" x14ac:dyDescent="0.25">
      <c r="A302" t="s">
        <v>333</v>
      </c>
      <c r="B302" s="1">
        <v>45944</v>
      </c>
      <c r="C302" t="s">
        <v>24</v>
      </c>
      <c r="D302" t="s">
        <v>33</v>
      </c>
      <c r="E302" t="s">
        <v>22</v>
      </c>
      <c r="F302" t="s">
        <v>30</v>
      </c>
      <c r="G302" s="2">
        <v>13600</v>
      </c>
      <c r="H302">
        <f>YEAR(tblServicios[[#This Row],[Fecha]])</f>
        <v>2025</v>
      </c>
      <c r="I302">
        <f>MONTH(tblServicios[[#This Row],[Fecha]])</f>
        <v>10</v>
      </c>
    </row>
    <row r="303" spans="1:9" x14ac:dyDescent="0.25">
      <c r="A303" t="s">
        <v>334</v>
      </c>
      <c r="B303" s="1">
        <v>45945</v>
      </c>
      <c r="C303" t="s">
        <v>15</v>
      </c>
      <c r="D303" t="s">
        <v>28</v>
      </c>
      <c r="E303" t="s">
        <v>29</v>
      </c>
      <c r="F303" t="s">
        <v>18</v>
      </c>
      <c r="G303" s="2">
        <v>2950</v>
      </c>
      <c r="H303">
        <f>YEAR(tblServicios[[#This Row],[Fecha]])</f>
        <v>2025</v>
      </c>
      <c r="I303">
        <f>MONTH(tblServicios[[#This Row],[Fecha]])</f>
        <v>10</v>
      </c>
    </row>
    <row r="304" spans="1:9" x14ac:dyDescent="0.25">
      <c r="A304" t="s">
        <v>335</v>
      </c>
      <c r="B304" s="1">
        <v>45945</v>
      </c>
      <c r="C304" t="s">
        <v>20</v>
      </c>
      <c r="D304" t="s">
        <v>21</v>
      </c>
      <c r="E304" t="s">
        <v>22</v>
      </c>
      <c r="F304" t="s">
        <v>48</v>
      </c>
      <c r="G304" s="2">
        <v>10650</v>
      </c>
      <c r="H304">
        <f>YEAR(tblServicios[[#This Row],[Fecha]])</f>
        <v>2025</v>
      </c>
      <c r="I304">
        <f>MONTH(tblServicios[[#This Row],[Fecha]])</f>
        <v>10</v>
      </c>
    </row>
    <row r="305" spans="1:9" x14ac:dyDescent="0.25">
      <c r="A305" t="s">
        <v>336</v>
      </c>
      <c r="B305" s="1">
        <v>45946</v>
      </c>
      <c r="C305" t="s">
        <v>24</v>
      </c>
      <c r="D305" t="s">
        <v>69</v>
      </c>
      <c r="E305" t="s">
        <v>29</v>
      </c>
      <c r="F305" t="s">
        <v>18</v>
      </c>
      <c r="G305" s="2">
        <v>3250</v>
      </c>
      <c r="H305">
        <f>YEAR(tblServicios[[#This Row],[Fecha]])</f>
        <v>2025</v>
      </c>
      <c r="I305">
        <f>MONTH(tblServicios[[#This Row],[Fecha]])</f>
        <v>10</v>
      </c>
    </row>
    <row r="306" spans="1:9" x14ac:dyDescent="0.25">
      <c r="A306" t="s">
        <v>337</v>
      </c>
      <c r="B306" s="1">
        <v>45947</v>
      </c>
      <c r="C306" t="s">
        <v>15</v>
      </c>
      <c r="D306" t="s">
        <v>21</v>
      </c>
      <c r="E306" t="s">
        <v>22</v>
      </c>
      <c r="F306" t="s">
        <v>45</v>
      </c>
      <c r="G306" s="2">
        <v>6050</v>
      </c>
      <c r="H306">
        <f>YEAR(tblServicios[[#This Row],[Fecha]])</f>
        <v>2025</v>
      </c>
      <c r="I306">
        <f>MONTH(tblServicios[[#This Row],[Fecha]])</f>
        <v>10</v>
      </c>
    </row>
    <row r="307" spans="1:9" x14ac:dyDescent="0.25">
      <c r="A307" t="s">
        <v>338</v>
      </c>
      <c r="B307" s="1">
        <v>45949</v>
      </c>
      <c r="C307" t="s">
        <v>24</v>
      </c>
      <c r="D307" t="s">
        <v>16</v>
      </c>
      <c r="E307" t="s">
        <v>35</v>
      </c>
      <c r="F307" t="s">
        <v>30</v>
      </c>
      <c r="G307" s="2">
        <v>16600</v>
      </c>
      <c r="H307">
        <f>YEAR(tblServicios[[#This Row],[Fecha]])</f>
        <v>2025</v>
      </c>
      <c r="I307">
        <f>MONTH(tblServicios[[#This Row],[Fecha]])</f>
        <v>10</v>
      </c>
    </row>
    <row r="308" spans="1:9" x14ac:dyDescent="0.25">
      <c r="A308" t="s">
        <v>339</v>
      </c>
      <c r="B308" s="1">
        <v>45950</v>
      </c>
      <c r="C308" t="s">
        <v>10</v>
      </c>
      <c r="D308" t="s">
        <v>16</v>
      </c>
      <c r="E308" t="s">
        <v>22</v>
      </c>
      <c r="F308" t="s">
        <v>26</v>
      </c>
      <c r="G308" s="2">
        <v>11450</v>
      </c>
      <c r="H308">
        <f>YEAR(tblServicios[[#This Row],[Fecha]])</f>
        <v>2025</v>
      </c>
      <c r="I308">
        <f>MONTH(tblServicios[[#This Row],[Fecha]])</f>
        <v>10</v>
      </c>
    </row>
    <row r="309" spans="1:9" x14ac:dyDescent="0.25">
      <c r="A309" t="s">
        <v>340</v>
      </c>
      <c r="B309" s="1">
        <v>45951</v>
      </c>
      <c r="C309" t="s">
        <v>15</v>
      </c>
      <c r="D309" t="s">
        <v>21</v>
      </c>
      <c r="E309" t="s">
        <v>22</v>
      </c>
      <c r="F309" t="s">
        <v>18</v>
      </c>
      <c r="G309" s="2">
        <v>11800</v>
      </c>
      <c r="H309">
        <f>YEAR(tblServicios[[#This Row],[Fecha]])</f>
        <v>2025</v>
      </c>
      <c r="I309">
        <f>MONTH(tblServicios[[#This Row],[Fecha]])</f>
        <v>10</v>
      </c>
    </row>
    <row r="310" spans="1:9" x14ac:dyDescent="0.25">
      <c r="A310" t="s">
        <v>341</v>
      </c>
      <c r="B310" s="1">
        <v>45953</v>
      </c>
      <c r="C310" t="s">
        <v>10</v>
      </c>
      <c r="D310" t="s">
        <v>69</v>
      </c>
      <c r="E310" t="s">
        <v>29</v>
      </c>
      <c r="F310" t="s">
        <v>30</v>
      </c>
      <c r="G310" s="2">
        <v>2050</v>
      </c>
      <c r="H310">
        <f>YEAR(tblServicios[[#This Row],[Fecha]])</f>
        <v>2025</v>
      </c>
      <c r="I310">
        <f>MONTH(tblServicios[[#This Row],[Fecha]])</f>
        <v>10</v>
      </c>
    </row>
    <row r="311" spans="1:9" x14ac:dyDescent="0.25">
      <c r="A311" t="s">
        <v>342</v>
      </c>
      <c r="B311" s="1">
        <v>45956</v>
      </c>
      <c r="C311" t="s">
        <v>15</v>
      </c>
      <c r="D311" t="s">
        <v>33</v>
      </c>
      <c r="E311" t="s">
        <v>22</v>
      </c>
      <c r="F311" t="s">
        <v>18</v>
      </c>
      <c r="G311" s="2">
        <v>8300</v>
      </c>
      <c r="H311">
        <f>YEAR(tblServicios[[#This Row],[Fecha]])</f>
        <v>2025</v>
      </c>
      <c r="I311">
        <f>MONTH(tblServicios[[#This Row],[Fecha]])</f>
        <v>10</v>
      </c>
    </row>
    <row r="312" spans="1:9" x14ac:dyDescent="0.25">
      <c r="A312" t="s">
        <v>343</v>
      </c>
      <c r="B312" s="1">
        <v>45957</v>
      </c>
      <c r="C312" t="s">
        <v>24</v>
      </c>
      <c r="D312" t="s">
        <v>21</v>
      </c>
      <c r="E312" t="s">
        <v>22</v>
      </c>
      <c r="F312" t="s">
        <v>26</v>
      </c>
      <c r="G312" s="2">
        <v>10750</v>
      </c>
      <c r="H312">
        <f>YEAR(tblServicios[[#This Row],[Fecha]])</f>
        <v>2025</v>
      </c>
      <c r="I312">
        <f>MONTH(tblServicios[[#This Row],[Fecha]])</f>
        <v>10</v>
      </c>
    </row>
    <row r="313" spans="1:9" x14ac:dyDescent="0.25">
      <c r="A313" t="s">
        <v>344</v>
      </c>
      <c r="B313" s="1">
        <v>45959</v>
      </c>
      <c r="C313" t="s">
        <v>47</v>
      </c>
      <c r="D313" t="s">
        <v>16</v>
      </c>
      <c r="E313" t="s">
        <v>17</v>
      </c>
      <c r="F313" t="s">
        <v>26</v>
      </c>
      <c r="G313" s="2">
        <v>155100</v>
      </c>
      <c r="H313">
        <f>YEAR(tblServicios[[#This Row],[Fecha]])</f>
        <v>2025</v>
      </c>
      <c r="I313">
        <f>MONTH(tblServicios[[#This Row],[Fecha]])</f>
        <v>10</v>
      </c>
    </row>
    <row r="314" spans="1:9" x14ac:dyDescent="0.25">
      <c r="A314" t="s">
        <v>345</v>
      </c>
      <c r="B314" s="1">
        <v>45960</v>
      </c>
      <c r="C314" t="s">
        <v>10</v>
      </c>
      <c r="D314" t="s">
        <v>21</v>
      </c>
      <c r="E314" t="s">
        <v>22</v>
      </c>
      <c r="F314" t="s">
        <v>26</v>
      </c>
      <c r="G314" s="2">
        <v>4050</v>
      </c>
      <c r="H314">
        <f>YEAR(tblServicios[[#This Row],[Fecha]])</f>
        <v>2025</v>
      </c>
      <c r="I314">
        <f>MONTH(tblServicios[[#This Row],[Fecha]])</f>
        <v>10</v>
      </c>
    </row>
    <row r="315" spans="1:9" x14ac:dyDescent="0.25">
      <c r="A315" t="s">
        <v>346</v>
      </c>
      <c r="B315" s="1">
        <v>45960</v>
      </c>
      <c r="C315" t="s">
        <v>10</v>
      </c>
      <c r="D315" t="s">
        <v>16</v>
      </c>
      <c r="E315" t="s">
        <v>17</v>
      </c>
      <c r="F315" t="s">
        <v>45</v>
      </c>
      <c r="G315" s="2">
        <v>153850</v>
      </c>
      <c r="H315">
        <f>YEAR(tblServicios[[#This Row],[Fecha]])</f>
        <v>2025</v>
      </c>
      <c r="I315">
        <f>MONTH(tblServicios[[#This Row],[Fecha]])</f>
        <v>10</v>
      </c>
    </row>
    <row r="316" spans="1:9" x14ac:dyDescent="0.25">
      <c r="A316" t="s">
        <v>347</v>
      </c>
      <c r="B316" s="1">
        <v>45960</v>
      </c>
      <c r="C316" t="s">
        <v>15</v>
      </c>
      <c r="D316" t="s">
        <v>25</v>
      </c>
      <c r="E316" t="s">
        <v>35</v>
      </c>
      <c r="F316" t="s">
        <v>18</v>
      </c>
      <c r="G316" s="2">
        <v>10500</v>
      </c>
      <c r="H316">
        <f>YEAR(tblServicios[[#This Row],[Fecha]])</f>
        <v>2025</v>
      </c>
      <c r="I316">
        <f>MONTH(tblServicios[[#This Row],[Fecha]])</f>
        <v>10</v>
      </c>
    </row>
    <row r="317" spans="1:9" x14ac:dyDescent="0.25">
      <c r="A317" t="s">
        <v>348</v>
      </c>
      <c r="B317" s="1">
        <v>45963</v>
      </c>
      <c r="C317" t="s">
        <v>15</v>
      </c>
      <c r="D317" t="s">
        <v>69</v>
      </c>
      <c r="E317" t="s">
        <v>29</v>
      </c>
      <c r="F317" t="s">
        <v>13</v>
      </c>
      <c r="G317" s="2">
        <v>2600</v>
      </c>
      <c r="H317">
        <f>YEAR(tblServicios[[#This Row],[Fecha]])</f>
        <v>2025</v>
      </c>
      <c r="I317">
        <f>MONTH(tblServicios[[#This Row],[Fecha]])</f>
        <v>11</v>
      </c>
    </row>
    <row r="318" spans="1:9" x14ac:dyDescent="0.25">
      <c r="A318" t="s">
        <v>349</v>
      </c>
      <c r="B318" s="1">
        <v>45966</v>
      </c>
      <c r="C318" t="s">
        <v>20</v>
      </c>
      <c r="D318" t="s">
        <v>16</v>
      </c>
      <c r="E318" t="s">
        <v>22</v>
      </c>
      <c r="F318" t="s">
        <v>18</v>
      </c>
      <c r="G318" s="2">
        <v>4750</v>
      </c>
      <c r="H318">
        <f>YEAR(tblServicios[[#This Row],[Fecha]])</f>
        <v>2025</v>
      </c>
      <c r="I318">
        <f>MONTH(tblServicios[[#This Row],[Fecha]])</f>
        <v>11</v>
      </c>
    </row>
    <row r="319" spans="1:9" x14ac:dyDescent="0.25">
      <c r="A319" t="s">
        <v>350</v>
      </c>
      <c r="B319" s="1">
        <v>45967</v>
      </c>
      <c r="C319" t="s">
        <v>15</v>
      </c>
      <c r="D319" t="s">
        <v>25</v>
      </c>
      <c r="E319" t="s">
        <v>35</v>
      </c>
      <c r="F319" t="s">
        <v>13</v>
      </c>
      <c r="G319" s="2">
        <v>14850</v>
      </c>
      <c r="H319">
        <f>YEAR(tblServicios[[#This Row],[Fecha]])</f>
        <v>2025</v>
      </c>
      <c r="I319">
        <f>MONTH(tblServicios[[#This Row],[Fecha]])</f>
        <v>11</v>
      </c>
    </row>
    <row r="320" spans="1:9" x14ac:dyDescent="0.25">
      <c r="A320" t="s">
        <v>351</v>
      </c>
      <c r="B320" s="1">
        <v>45967</v>
      </c>
      <c r="C320" t="s">
        <v>24</v>
      </c>
      <c r="D320" t="s">
        <v>25</v>
      </c>
      <c r="E320" t="s">
        <v>17</v>
      </c>
      <c r="F320" t="s">
        <v>18</v>
      </c>
      <c r="G320" s="2">
        <v>176200</v>
      </c>
      <c r="H320">
        <f>YEAR(tblServicios[[#This Row],[Fecha]])</f>
        <v>2025</v>
      </c>
      <c r="I320">
        <f>MONTH(tblServicios[[#This Row],[Fecha]])</f>
        <v>11</v>
      </c>
    </row>
    <row r="321" spans="1:9" x14ac:dyDescent="0.25">
      <c r="A321" t="s">
        <v>352</v>
      </c>
      <c r="B321" s="1">
        <v>45968</v>
      </c>
      <c r="C321" t="s">
        <v>15</v>
      </c>
      <c r="D321" t="s">
        <v>16</v>
      </c>
      <c r="E321" t="s">
        <v>35</v>
      </c>
      <c r="F321" t="s">
        <v>18</v>
      </c>
      <c r="G321" s="2">
        <v>11250</v>
      </c>
      <c r="H321">
        <f>YEAR(tblServicios[[#This Row],[Fecha]])</f>
        <v>2025</v>
      </c>
      <c r="I321">
        <f>MONTH(tblServicios[[#This Row],[Fecha]])</f>
        <v>11</v>
      </c>
    </row>
    <row r="322" spans="1:9" x14ac:dyDescent="0.25">
      <c r="A322" t="s">
        <v>353</v>
      </c>
      <c r="B322" s="1">
        <v>45969</v>
      </c>
      <c r="C322" t="s">
        <v>24</v>
      </c>
      <c r="D322" t="s">
        <v>39</v>
      </c>
      <c r="E322" t="s">
        <v>29</v>
      </c>
      <c r="F322" t="s">
        <v>48</v>
      </c>
      <c r="G322" s="2">
        <v>2100</v>
      </c>
      <c r="H322">
        <f>YEAR(tblServicios[[#This Row],[Fecha]])</f>
        <v>2025</v>
      </c>
      <c r="I322">
        <f>MONTH(tblServicios[[#This Row],[Fecha]])</f>
        <v>11</v>
      </c>
    </row>
    <row r="323" spans="1:9" x14ac:dyDescent="0.25">
      <c r="A323" t="s">
        <v>354</v>
      </c>
      <c r="B323" s="1">
        <v>45970</v>
      </c>
      <c r="C323" t="s">
        <v>10</v>
      </c>
      <c r="D323" t="s">
        <v>25</v>
      </c>
      <c r="E323" t="s">
        <v>35</v>
      </c>
      <c r="F323" t="s">
        <v>45</v>
      </c>
      <c r="G323" s="2">
        <v>13150</v>
      </c>
      <c r="H323">
        <f>YEAR(tblServicios[[#This Row],[Fecha]])</f>
        <v>2025</v>
      </c>
      <c r="I323">
        <f>MONTH(tblServicios[[#This Row],[Fecha]])</f>
        <v>11</v>
      </c>
    </row>
    <row r="324" spans="1:9" x14ac:dyDescent="0.25">
      <c r="A324" t="s">
        <v>355</v>
      </c>
      <c r="B324" s="1">
        <v>45972</v>
      </c>
      <c r="C324" t="s">
        <v>24</v>
      </c>
      <c r="D324" t="s">
        <v>16</v>
      </c>
      <c r="E324" t="s">
        <v>35</v>
      </c>
      <c r="F324" t="s">
        <v>26</v>
      </c>
      <c r="G324" s="2">
        <v>11500</v>
      </c>
      <c r="H324">
        <f>YEAR(tblServicios[[#This Row],[Fecha]])</f>
        <v>2025</v>
      </c>
      <c r="I324">
        <f>MONTH(tblServicios[[#This Row],[Fecha]])</f>
        <v>11</v>
      </c>
    </row>
    <row r="325" spans="1:9" x14ac:dyDescent="0.25">
      <c r="A325" t="s">
        <v>356</v>
      </c>
      <c r="B325" s="1">
        <v>45973</v>
      </c>
      <c r="C325" t="s">
        <v>47</v>
      </c>
      <c r="D325" t="s">
        <v>39</v>
      </c>
      <c r="E325" t="s">
        <v>35</v>
      </c>
      <c r="F325" t="s">
        <v>45</v>
      </c>
      <c r="G325" s="2">
        <v>6100</v>
      </c>
      <c r="H325">
        <f>YEAR(tblServicios[[#This Row],[Fecha]])</f>
        <v>2025</v>
      </c>
      <c r="I325">
        <f>MONTH(tblServicios[[#This Row],[Fecha]])</f>
        <v>11</v>
      </c>
    </row>
    <row r="326" spans="1:9" x14ac:dyDescent="0.25">
      <c r="A326" t="s">
        <v>357</v>
      </c>
      <c r="B326" s="1">
        <v>45973</v>
      </c>
      <c r="C326" t="s">
        <v>24</v>
      </c>
      <c r="D326" t="s">
        <v>69</v>
      </c>
      <c r="E326" t="s">
        <v>29</v>
      </c>
      <c r="F326" t="s">
        <v>30</v>
      </c>
      <c r="G326" s="2">
        <v>2150</v>
      </c>
      <c r="H326">
        <f>YEAR(tblServicios[[#This Row],[Fecha]])</f>
        <v>2025</v>
      </c>
      <c r="I326">
        <f>MONTH(tblServicios[[#This Row],[Fecha]])</f>
        <v>11</v>
      </c>
    </row>
    <row r="327" spans="1:9" x14ac:dyDescent="0.25">
      <c r="A327" t="s">
        <v>358</v>
      </c>
      <c r="B327" s="1">
        <v>45974</v>
      </c>
      <c r="C327" t="s">
        <v>15</v>
      </c>
      <c r="D327" t="s">
        <v>69</v>
      </c>
      <c r="E327" t="s">
        <v>29</v>
      </c>
      <c r="F327" t="s">
        <v>13</v>
      </c>
      <c r="G327" s="2">
        <v>2300</v>
      </c>
      <c r="H327">
        <f>YEAR(tblServicios[[#This Row],[Fecha]])</f>
        <v>2025</v>
      </c>
      <c r="I327">
        <f>MONTH(tblServicios[[#This Row],[Fecha]])</f>
        <v>11</v>
      </c>
    </row>
    <row r="328" spans="1:9" x14ac:dyDescent="0.25">
      <c r="A328" t="s">
        <v>359</v>
      </c>
      <c r="B328" s="1">
        <v>45977</v>
      </c>
      <c r="C328" t="s">
        <v>47</v>
      </c>
      <c r="D328" t="s">
        <v>21</v>
      </c>
      <c r="E328" t="s">
        <v>12</v>
      </c>
      <c r="F328" t="s">
        <v>26</v>
      </c>
      <c r="G328" s="2">
        <v>3400</v>
      </c>
      <c r="H328">
        <f>YEAR(tblServicios[[#This Row],[Fecha]])</f>
        <v>2025</v>
      </c>
      <c r="I328">
        <f>MONTH(tblServicios[[#This Row],[Fecha]])</f>
        <v>11</v>
      </c>
    </row>
    <row r="329" spans="1:9" x14ac:dyDescent="0.25">
      <c r="A329" t="s">
        <v>360</v>
      </c>
      <c r="B329" s="1">
        <v>45978</v>
      </c>
      <c r="C329" t="s">
        <v>15</v>
      </c>
      <c r="D329" t="s">
        <v>69</v>
      </c>
      <c r="E329" t="s">
        <v>17</v>
      </c>
      <c r="F329" t="s">
        <v>48</v>
      </c>
      <c r="G329" s="2">
        <v>156450</v>
      </c>
      <c r="H329">
        <f>YEAR(tblServicios[[#This Row],[Fecha]])</f>
        <v>2025</v>
      </c>
      <c r="I329">
        <f>MONTH(tblServicios[[#This Row],[Fecha]])</f>
        <v>11</v>
      </c>
    </row>
    <row r="330" spans="1:9" x14ac:dyDescent="0.25">
      <c r="A330" t="s">
        <v>361</v>
      </c>
      <c r="B330" s="1">
        <v>45979</v>
      </c>
      <c r="C330" t="s">
        <v>15</v>
      </c>
      <c r="D330" t="s">
        <v>11</v>
      </c>
      <c r="E330" t="s">
        <v>12</v>
      </c>
      <c r="F330" t="s">
        <v>13</v>
      </c>
      <c r="G330" s="2">
        <v>3300</v>
      </c>
      <c r="H330">
        <f>YEAR(tblServicios[[#This Row],[Fecha]])</f>
        <v>2025</v>
      </c>
      <c r="I330">
        <f>MONTH(tblServicios[[#This Row],[Fecha]])</f>
        <v>11</v>
      </c>
    </row>
    <row r="331" spans="1:9" x14ac:dyDescent="0.25">
      <c r="A331" t="s">
        <v>362</v>
      </c>
      <c r="B331" s="1">
        <v>45982</v>
      </c>
      <c r="C331" t="s">
        <v>15</v>
      </c>
      <c r="D331" t="s">
        <v>39</v>
      </c>
      <c r="E331" t="s">
        <v>35</v>
      </c>
      <c r="F331" t="s">
        <v>45</v>
      </c>
      <c r="G331" s="2">
        <v>16250</v>
      </c>
      <c r="H331">
        <f>YEAR(tblServicios[[#This Row],[Fecha]])</f>
        <v>2025</v>
      </c>
      <c r="I331">
        <f>MONTH(tblServicios[[#This Row],[Fecha]])</f>
        <v>11</v>
      </c>
    </row>
    <row r="332" spans="1:9" x14ac:dyDescent="0.25">
      <c r="A332" t="s">
        <v>363</v>
      </c>
      <c r="B332" s="1">
        <v>45984</v>
      </c>
      <c r="C332" t="s">
        <v>20</v>
      </c>
      <c r="D332" t="s">
        <v>28</v>
      </c>
      <c r="E332" t="s">
        <v>29</v>
      </c>
      <c r="F332" t="s">
        <v>18</v>
      </c>
      <c r="G332" s="2">
        <v>2000</v>
      </c>
      <c r="H332">
        <f>YEAR(tblServicios[[#This Row],[Fecha]])</f>
        <v>2025</v>
      </c>
      <c r="I332">
        <f>MONTH(tblServicios[[#This Row],[Fecha]])</f>
        <v>11</v>
      </c>
    </row>
    <row r="333" spans="1:9" x14ac:dyDescent="0.25">
      <c r="A333" t="s">
        <v>364</v>
      </c>
      <c r="B333" s="1">
        <v>45984</v>
      </c>
      <c r="C333" t="s">
        <v>24</v>
      </c>
      <c r="D333" t="s">
        <v>21</v>
      </c>
      <c r="E333" t="s">
        <v>12</v>
      </c>
      <c r="F333" t="s">
        <v>30</v>
      </c>
      <c r="G333" s="2">
        <v>2200</v>
      </c>
      <c r="H333">
        <f>YEAR(tblServicios[[#This Row],[Fecha]])</f>
        <v>2025</v>
      </c>
      <c r="I333">
        <f>MONTH(tblServicios[[#This Row],[Fecha]])</f>
        <v>11</v>
      </c>
    </row>
    <row r="334" spans="1:9" x14ac:dyDescent="0.25">
      <c r="A334" t="s">
        <v>365</v>
      </c>
      <c r="B334" s="1">
        <v>45985</v>
      </c>
      <c r="C334" t="s">
        <v>24</v>
      </c>
      <c r="D334" t="s">
        <v>28</v>
      </c>
      <c r="E334" t="s">
        <v>29</v>
      </c>
      <c r="F334" t="s">
        <v>48</v>
      </c>
      <c r="G334" s="2">
        <v>3300</v>
      </c>
      <c r="H334">
        <f>YEAR(tblServicios[[#This Row],[Fecha]])</f>
        <v>2025</v>
      </c>
      <c r="I334">
        <f>MONTH(tblServicios[[#This Row],[Fecha]])</f>
        <v>11</v>
      </c>
    </row>
    <row r="335" spans="1:9" x14ac:dyDescent="0.25">
      <c r="A335" t="s">
        <v>366</v>
      </c>
      <c r="B335" s="1">
        <v>45986</v>
      </c>
      <c r="C335" t="s">
        <v>15</v>
      </c>
      <c r="D335" t="s">
        <v>28</v>
      </c>
      <c r="E335" t="s">
        <v>29</v>
      </c>
      <c r="F335" t="s">
        <v>26</v>
      </c>
      <c r="G335" s="2">
        <v>3350</v>
      </c>
      <c r="H335">
        <f>YEAR(tblServicios[[#This Row],[Fecha]])</f>
        <v>2025</v>
      </c>
      <c r="I335">
        <f>MONTH(tblServicios[[#This Row],[Fecha]])</f>
        <v>11</v>
      </c>
    </row>
    <row r="336" spans="1:9" x14ac:dyDescent="0.25">
      <c r="A336" t="s">
        <v>367</v>
      </c>
      <c r="B336" s="1">
        <v>45990</v>
      </c>
      <c r="C336" t="s">
        <v>10</v>
      </c>
      <c r="D336" t="s">
        <v>21</v>
      </c>
      <c r="E336" t="s">
        <v>22</v>
      </c>
      <c r="F336" t="s">
        <v>26</v>
      </c>
      <c r="G336" s="2">
        <v>5700</v>
      </c>
      <c r="H336">
        <f>YEAR(tblServicios[[#This Row],[Fecha]])</f>
        <v>2025</v>
      </c>
      <c r="I336">
        <f>MONTH(tblServicios[[#This Row],[Fecha]])</f>
        <v>11</v>
      </c>
    </row>
    <row r="337" spans="1:9" x14ac:dyDescent="0.25">
      <c r="A337" t="s">
        <v>368</v>
      </c>
      <c r="B337" s="1">
        <v>45990</v>
      </c>
      <c r="C337" t="s">
        <v>15</v>
      </c>
      <c r="D337" t="s">
        <v>16</v>
      </c>
      <c r="E337" t="s">
        <v>17</v>
      </c>
      <c r="F337" t="s">
        <v>13</v>
      </c>
      <c r="G337" s="2">
        <v>102300</v>
      </c>
      <c r="H337">
        <f>YEAR(tblServicios[[#This Row],[Fecha]])</f>
        <v>2025</v>
      </c>
      <c r="I337">
        <f>MONTH(tblServicios[[#This Row],[Fecha]])</f>
        <v>11</v>
      </c>
    </row>
    <row r="338" spans="1:9" x14ac:dyDescent="0.25">
      <c r="A338" t="s">
        <v>369</v>
      </c>
      <c r="B338" s="1">
        <v>45991</v>
      </c>
      <c r="C338" t="s">
        <v>10</v>
      </c>
      <c r="D338" t="s">
        <v>33</v>
      </c>
      <c r="E338" t="s">
        <v>29</v>
      </c>
      <c r="F338" t="s">
        <v>18</v>
      </c>
      <c r="G338" s="2">
        <v>3150</v>
      </c>
      <c r="H338">
        <f>YEAR(tblServicios[[#This Row],[Fecha]])</f>
        <v>2025</v>
      </c>
      <c r="I338">
        <f>MONTH(tblServicios[[#This Row],[Fecha]])</f>
        <v>11</v>
      </c>
    </row>
    <row r="339" spans="1:9" x14ac:dyDescent="0.25">
      <c r="A339" t="s">
        <v>370</v>
      </c>
      <c r="B339" s="1">
        <v>45992</v>
      </c>
      <c r="C339" t="s">
        <v>10</v>
      </c>
      <c r="D339" t="s">
        <v>28</v>
      </c>
      <c r="E339" t="s">
        <v>29</v>
      </c>
      <c r="F339" t="s">
        <v>26</v>
      </c>
      <c r="G339" s="2">
        <v>2800</v>
      </c>
      <c r="H339">
        <f>YEAR(tblServicios[[#This Row],[Fecha]])</f>
        <v>2025</v>
      </c>
      <c r="I339">
        <f>MONTH(tblServicios[[#This Row],[Fecha]])</f>
        <v>12</v>
      </c>
    </row>
    <row r="340" spans="1:9" x14ac:dyDescent="0.25">
      <c r="A340" t="s">
        <v>371</v>
      </c>
      <c r="B340" s="1">
        <v>45993</v>
      </c>
      <c r="C340" t="s">
        <v>20</v>
      </c>
      <c r="D340" t="s">
        <v>16</v>
      </c>
      <c r="E340" t="s">
        <v>17</v>
      </c>
      <c r="F340" t="s">
        <v>26</v>
      </c>
      <c r="G340" s="2">
        <v>70150</v>
      </c>
      <c r="H340">
        <f>YEAR(tblServicios[[#This Row],[Fecha]])</f>
        <v>2025</v>
      </c>
      <c r="I340">
        <f>MONTH(tblServicios[[#This Row],[Fecha]])</f>
        <v>12</v>
      </c>
    </row>
    <row r="341" spans="1:9" x14ac:dyDescent="0.25">
      <c r="A341" t="s">
        <v>372</v>
      </c>
      <c r="B341" s="1">
        <v>45993</v>
      </c>
      <c r="C341" t="s">
        <v>10</v>
      </c>
      <c r="D341" t="s">
        <v>28</v>
      </c>
      <c r="E341" t="s">
        <v>29</v>
      </c>
      <c r="F341" t="s">
        <v>26</v>
      </c>
      <c r="G341" s="2">
        <v>2850</v>
      </c>
      <c r="H341">
        <f>YEAR(tblServicios[[#This Row],[Fecha]])</f>
        <v>2025</v>
      </c>
      <c r="I341">
        <f>MONTH(tblServicios[[#This Row],[Fecha]])</f>
        <v>12</v>
      </c>
    </row>
    <row r="342" spans="1:9" x14ac:dyDescent="0.25">
      <c r="A342" t="s">
        <v>373</v>
      </c>
      <c r="B342" s="1">
        <v>45995</v>
      </c>
      <c r="C342" t="s">
        <v>15</v>
      </c>
      <c r="D342" t="s">
        <v>39</v>
      </c>
      <c r="E342" t="s">
        <v>29</v>
      </c>
      <c r="F342" t="s">
        <v>13</v>
      </c>
      <c r="G342" s="2">
        <v>3400</v>
      </c>
      <c r="H342">
        <f>YEAR(tblServicios[[#This Row],[Fecha]])</f>
        <v>2025</v>
      </c>
      <c r="I342">
        <f>MONTH(tblServicios[[#This Row],[Fecha]])</f>
        <v>12</v>
      </c>
    </row>
    <row r="343" spans="1:9" x14ac:dyDescent="0.25">
      <c r="A343" t="s">
        <v>374</v>
      </c>
      <c r="B343" s="1">
        <v>45995</v>
      </c>
      <c r="C343" t="s">
        <v>20</v>
      </c>
      <c r="D343" t="s">
        <v>39</v>
      </c>
      <c r="E343" t="s">
        <v>35</v>
      </c>
      <c r="F343" t="s">
        <v>18</v>
      </c>
      <c r="G343" s="2">
        <v>7300</v>
      </c>
      <c r="H343">
        <f>YEAR(tblServicios[[#This Row],[Fecha]])</f>
        <v>2025</v>
      </c>
      <c r="I343">
        <f>MONTH(tblServicios[[#This Row],[Fecha]])</f>
        <v>12</v>
      </c>
    </row>
    <row r="344" spans="1:9" x14ac:dyDescent="0.25">
      <c r="A344" t="s">
        <v>375</v>
      </c>
      <c r="B344" s="1">
        <v>45995</v>
      </c>
      <c r="C344" t="s">
        <v>20</v>
      </c>
      <c r="D344" t="s">
        <v>33</v>
      </c>
      <c r="E344" t="s">
        <v>29</v>
      </c>
      <c r="F344" t="s">
        <v>13</v>
      </c>
      <c r="G344" s="2">
        <v>1200</v>
      </c>
      <c r="H344">
        <f>YEAR(tblServicios[[#This Row],[Fecha]])</f>
        <v>2025</v>
      </c>
      <c r="I344">
        <f>MONTH(tblServicios[[#This Row],[Fecha]])</f>
        <v>12</v>
      </c>
    </row>
    <row r="345" spans="1:9" x14ac:dyDescent="0.25">
      <c r="A345" t="s">
        <v>376</v>
      </c>
      <c r="B345" s="1">
        <v>45996</v>
      </c>
      <c r="C345" t="s">
        <v>24</v>
      </c>
      <c r="D345" t="s">
        <v>16</v>
      </c>
      <c r="E345" t="s">
        <v>35</v>
      </c>
      <c r="F345" t="s">
        <v>18</v>
      </c>
      <c r="G345" s="2">
        <v>19850</v>
      </c>
      <c r="H345">
        <f>YEAR(tblServicios[[#This Row],[Fecha]])</f>
        <v>2025</v>
      </c>
      <c r="I345">
        <f>MONTH(tblServicios[[#This Row],[Fecha]])</f>
        <v>12</v>
      </c>
    </row>
    <row r="346" spans="1:9" x14ac:dyDescent="0.25">
      <c r="A346" t="s">
        <v>377</v>
      </c>
      <c r="B346" s="1">
        <v>45998</v>
      </c>
      <c r="C346" t="s">
        <v>10</v>
      </c>
      <c r="D346" t="s">
        <v>33</v>
      </c>
      <c r="E346" t="s">
        <v>29</v>
      </c>
      <c r="F346" t="s">
        <v>18</v>
      </c>
      <c r="G346" s="2">
        <v>3050</v>
      </c>
      <c r="H346">
        <f>YEAR(tblServicios[[#This Row],[Fecha]])</f>
        <v>2025</v>
      </c>
      <c r="I346">
        <f>MONTH(tblServicios[[#This Row],[Fecha]])</f>
        <v>12</v>
      </c>
    </row>
    <row r="347" spans="1:9" x14ac:dyDescent="0.25">
      <c r="A347" t="s">
        <v>378</v>
      </c>
      <c r="B347" s="1">
        <v>45998</v>
      </c>
      <c r="C347" t="s">
        <v>20</v>
      </c>
      <c r="D347" t="s">
        <v>21</v>
      </c>
      <c r="E347" t="s">
        <v>22</v>
      </c>
      <c r="F347" t="s">
        <v>13</v>
      </c>
      <c r="G347" s="2">
        <v>6550</v>
      </c>
      <c r="H347">
        <f>YEAR(tblServicios[[#This Row],[Fecha]])</f>
        <v>2025</v>
      </c>
      <c r="I347">
        <f>MONTH(tblServicios[[#This Row],[Fecha]])</f>
        <v>12</v>
      </c>
    </row>
    <row r="348" spans="1:9" x14ac:dyDescent="0.25">
      <c r="A348" t="s">
        <v>379</v>
      </c>
      <c r="B348" s="1">
        <v>46000</v>
      </c>
      <c r="C348" t="s">
        <v>15</v>
      </c>
      <c r="D348" t="s">
        <v>11</v>
      </c>
      <c r="E348" t="s">
        <v>12</v>
      </c>
      <c r="F348" t="s">
        <v>26</v>
      </c>
      <c r="G348" s="2">
        <v>3950</v>
      </c>
      <c r="H348">
        <f>YEAR(tblServicios[[#This Row],[Fecha]])</f>
        <v>2025</v>
      </c>
      <c r="I348">
        <f>MONTH(tblServicios[[#This Row],[Fecha]])</f>
        <v>12</v>
      </c>
    </row>
    <row r="349" spans="1:9" x14ac:dyDescent="0.25">
      <c r="A349" t="s">
        <v>380</v>
      </c>
      <c r="B349" s="1">
        <v>46001</v>
      </c>
      <c r="C349" t="s">
        <v>15</v>
      </c>
      <c r="D349" t="s">
        <v>39</v>
      </c>
      <c r="E349" t="s">
        <v>29</v>
      </c>
      <c r="F349" t="s">
        <v>13</v>
      </c>
      <c r="G349" s="2">
        <v>2400</v>
      </c>
      <c r="H349">
        <f>YEAR(tblServicios[[#This Row],[Fecha]])</f>
        <v>2025</v>
      </c>
      <c r="I349">
        <f>MONTH(tblServicios[[#This Row],[Fecha]])</f>
        <v>12</v>
      </c>
    </row>
    <row r="350" spans="1:9" x14ac:dyDescent="0.25">
      <c r="A350" t="s">
        <v>381</v>
      </c>
      <c r="B350" s="1">
        <v>46003</v>
      </c>
      <c r="C350" t="s">
        <v>10</v>
      </c>
      <c r="D350" t="s">
        <v>25</v>
      </c>
      <c r="E350" t="s">
        <v>35</v>
      </c>
      <c r="F350" t="s">
        <v>45</v>
      </c>
      <c r="G350" s="2">
        <v>8500</v>
      </c>
      <c r="H350">
        <f>YEAR(tblServicios[[#This Row],[Fecha]])</f>
        <v>2025</v>
      </c>
      <c r="I350">
        <f>MONTH(tblServicios[[#This Row],[Fecha]])</f>
        <v>12</v>
      </c>
    </row>
    <row r="351" spans="1:9" x14ac:dyDescent="0.25">
      <c r="A351" t="s">
        <v>382</v>
      </c>
      <c r="B351" s="1">
        <v>46004</v>
      </c>
      <c r="C351" t="s">
        <v>20</v>
      </c>
      <c r="D351" t="s">
        <v>16</v>
      </c>
      <c r="E351" t="s">
        <v>35</v>
      </c>
      <c r="F351" t="s">
        <v>30</v>
      </c>
      <c r="G351" s="2">
        <v>11000</v>
      </c>
      <c r="H351">
        <f>YEAR(tblServicios[[#This Row],[Fecha]])</f>
        <v>2025</v>
      </c>
      <c r="I351">
        <f>MONTH(tblServicios[[#This Row],[Fecha]])</f>
        <v>12</v>
      </c>
    </row>
    <row r="352" spans="1:9" x14ac:dyDescent="0.25">
      <c r="A352" t="s">
        <v>383</v>
      </c>
      <c r="B352" s="1">
        <v>46004</v>
      </c>
      <c r="C352" t="s">
        <v>47</v>
      </c>
      <c r="D352" t="s">
        <v>28</v>
      </c>
      <c r="E352" t="s">
        <v>29</v>
      </c>
      <c r="F352" t="s">
        <v>18</v>
      </c>
      <c r="G352" s="2">
        <v>1300</v>
      </c>
      <c r="H352">
        <f>YEAR(tblServicios[[#This Row],[Fecha]])</f>
        <v>2025</v>
      </c>
      <c r="I352">
        <f>MONTH(tblServicios[[#This Row],[Fecha]])</f>
        <v>12</v>
      </c>
    </row>
    <row r="353" spans="1:9" x14ac:dyDescent="0.25">
      <c r="A353" t="s">
        <v>384</v>
      </c>
      <c r="B353" s="1">
        <v>46004</v>
      </c>
      <c r="C353" t="s">
        <v>24</v>
      </c>
      <c r="D353" t="s">
        <v>39</v>
      </c>
      <c r="E353" t="s">
        <v>29</v>
      </c>
      <c r="F353" t="s">
        <v>18</v>
      </c>
      <c r="G353" s="2">
        <v>1400</v>
      </c>
      <c r="H353">
        <f>YEAR(tblServicios[[#This Row],[Fecha]])</f>
        <v>2025</v>
      </c>
      <c r="I353">
        <f>MONTH(tblServicios[[#This Row],[Fecha]])</f>
        <v>12</v>
      </c>
    </row>
    <row r="354" spans="1:9" x14ac:dyDescent="0.25">
      <c r="A354" t="s">
        <v>385</v>
      </c>
      <c r="B354" s="1">
        <v>46005</v>
      </c>
      <c r="C354" t="s">
        <v>20</v>
      </c>
      <c r="D354" t="s">
        <v>33</v>
      </c>
      <c r="E354" t="s">
        <v>22</v>
      </c>
      <c r="F354" t="s">
        <v>18</v>
      </c>
      <c r="G354" s="2">
        <v>9400</v>
      </c>
      <c r="H354">
        <f>YEAR(tblServicios[[#This Row],[Fecha]])</f>
        <v>2025</v>
      </c>
      <c r="I354">
        <f>MONTH(tblServicios[[#This Row],[Fecha]])</f>
        <v>12</v>
      </c>
    </row>
    <row r="355" spans="1:9" x14ac:dyDescent="0.25">
      <c r="A355" t="s">
        <v>386</v>
      </c>
      <c r="B355" s="1">
        <v>46010</v>
      </c>
      <c r="C355" t="s">
        <v>10</v>
      </c>
      <c r="D355" t="s">
        <v>16</v>
      </c>
      <c r="E355" t="s">
        <v>22</v>
      </c>
      <c r="F355" t="s">
        <v>26</v>
      </c>
      <c r="G355" s="2">
        <v>7500</v>
      </c>
      <c r="H355">
        <f>YEAR(tblServicios[[#This Row],[Fecha]])</f>
        <v>2025</v>
      </c>
      <c r="I355">
        <f>MONTH(tblServicios[[#This Row],[Fecha]])</f>
        <v>12</v>
      </c>
    </row>
    <row r="356" spans="1:9" x14ac:dyDescent="0.25">
      <c r="A356" t="s">
        <v>387</v>
      </c>
      <c r="B356" s="1">
        <v>46014</v>
      </c>
      <c r="C356" t="s">
        <v>10</v>
      </c>
      <c r="D356" t="s">
        <v>16</v>
      </c>
      <c r="E356" t="s">
        <v>22</v>
      </c>
      <c r="F356" t="s">
        <v>26</v>
      </c>
      <c r="G356" s="2">
        <v>4900</v>
      </c>
      <c r="H356">
        <f>YEAR(tblServicios[[#This Row],[Fecha]])</f>
        <v>2025</v>
      </c>
      <c r="I356">
        <f>MONTH(tblServicios[[#This Row],[Fecha]])</f>
        <v>12</v>
      </c>
    </row>
    <row r="357" spans="1:9" x14ac:dyDescent="0.25">
      <c r="A357" t="s">
        <v>388</v>
      </c>
      <c r="B357" s="1">
        <v>46014</v>
      </c>
      <c r="C357" t="s">
        <v>10</v>
      </c>
      <c r="D357" t="s">
        <v>21</v>
      </c>
      <c r="E357" t="s">
        <v>22</v>
      </c>
      <c r="F357" t="s">
        <v>30</v>
      </c>
      <c r="G357" s="2">
        <v>4050</v>
      </c>
      <c r="H357">
        <f>YEAR(tblServicios[[#This Row],[Fecha]])</f>
        <v>2025</v>
      </c>
      <c r="I357">
        <f>MONTH(tblServicios[[#This Row],[Fecha]])</f>
        <v>12</v>
      </c>
    </row>
    <row r="358" spans="1:9" x14ac:dyDescent="0.25">
      <c r="A358" t="s">
        <v>389</v>
      </c>
      <c r="B358" s="1">
        <v>46016</v>
      </c>
      <c r="C358" t="s">
        <v>20</v>
      </c>
      <c r="D358" t="s">
        <v>28</v>
      </c>
      <c r="E358" t="s">
        <v>12</v>
      </c>
      <c r="F358" t="s">
        <v>26</v>
      </c>
      <c r="G358" s="2">
        <v>2600</v>
      </c>
      <c r="H358">
        <f>YEAR(tblServicios[[#This Row],[Fecha]])</f>
        <v>2025</v>
      </c>
      <c r="I358">
        <f>MONTH(tblServicios[[#This Row],[Fecha]])</f>
        <v>12</v>
      </c>
    </row>
    <row r="359" spans="1:9" x14ac:dyDescent="0.25">
      <c r="A359" t="s">
        <v>390</v>
      </c>
      <c r="B359" s="1">
        <v>46018</v>
      </c>
      <c r="C359" t="s">
        <v>15</v>
      </c>
      <c r="D359" t="s">
        <v>28</v>
      </c>
      <c r="E359" t="s">
        <v>29</v>
      </c>
      <c r="F359" t="s">
        <v>13</v>
      </c>
      <c r="G359" s="2">
        <v>1350</v>
      </c>
      <c r="H359">
        <f>YEAR(tblServicios[[#This Row],[Fecha]])</f>
        <v>2025</v>
      </c>
      <c r="I359">
        <f>MONTH(tblServicios[[#This Row],[Fecha]])</f>
        <v>12</v>
      </c>
    </row>
    <row r="360" spans="1:9" x14ac:dyDescent="0.25">
      <c r="A360" t="s">
        <v>391</v>
      </c>
      <c r="B360" s="1">
        <v>46019</v>
      </c>
      <c r="C360" t="s">
        <v>15</v>
      </c>
      <c r="D360" t="s">
        <v>69</v>
      </c>
      <c r="E360" t="s">
        <v>29</v>
      </c>
      <c r="F360" t="s">
        <v>26</v>
      </c>
      <c r="G360" s="2">
        <v>1250</v>
      </c>
      <c r="H360">
        <f>YEAR(tblServicios[[#This Row],[Fecha]])</f>
        <v>2025</v>
      </c>
      <c r="I360">
        <f>MONTH(tblServicios[[#This Row],[Fecha]])</f>
        <v>12</v>
      </c>
    </row>
    <row r="361" spans="1:9" x14ac:dyDescent="0.25">
      <c r="A361" t="s">
        <v>392</v>
      </c>
      <c r="B361" s="1">
        <v>46019</v>
      </c>
      <c r="C361" t="s">
        <v>15</v>
      </c>
      <c r="D361" t="s">
        <v>11</v>
      </c>
      <c r="E361" t="s">
        <v>12</v>
      </c>
      <c r="F361" t="s">
        <v>26</v>
      </c>
      <c r="G361" s="2">
        <v>1700</v>
      </c>
      <c r="H361">
        <f>YEAR(tblServicios[[#This Row],[Fecha]])</f>
        <v>2025</v>
      </c>
      <c r="I361">
        <f>MONTH(tblServicios[[#This Row],[Fecha]])</f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86D6"/>
  </sheetPr>
  <dimension ref="B1:Q48"/>
  <sheetViews>
    <sheetView workbookViewId="0" showGridLines="0" zoomScale="90"/>
  </sheetViews>
  <sheetFormatPr defaultRowHeight="15" outlineLevelRow="0" outlineLevelCol="0" x14ac:dyDescent="55"/>
  <cols>
    <col min="1" max="1" width="2" customWidth="1"/>
    <col min="2" max="13" width="11" customWidth="1"/>
    <col min="14" max="14" width="3" customWidth="1"/>
    <col min="15" max="17" width="12" customWidth="1"/>
  </cols>
  <sheetData>
    <row r="1" ht="22" customHeight="1" spans="2:17" x14ac:dyDescent="0.25">
      <c r="B1" s="3" t="s">
        <v>393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2" customHeight="1" spans="2:17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x14ac:dyDescent="0.25">
      <c r="B3" s="4" t="s">
        <v>394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5" spans="2:17" x14ac:dyDescent="0.25">
      <c r="B5" s="5" t="s">
        <v>395</v>
      </c>
      <c r="C5" s="5"/>
      <c r="D5" s="5"/>
      <c r="E5" s="5"/>
      <c r="F5" s="5" t="s">
        <v>396</v>
      </c>
      <c r="G5" s="5"/>
      <c r="H5" s="5"/>
      <c r="I5" s="5"/>
      <c r="J5" s="5" t="s">
        <v>397</v>
      </c>
      <c r="K5" s="5"/>
      <c r="L5" s="5"/>
      <c r="M5" s="5"/>
      <c r="O5" s="6" t="s">
        <v>398</v>
      </c>
      <c r="P5" s="6"/>
      <c r="Q5" s="6"/>
    </row>
    <row r="6" spans="2:17" x14ac:dyDescent="0.25">
      <c r="B6" s="7" t="s">
        <v>399</v>
      </c>
      <c r="C6" s="7"/>
      <c r="D6" s="7"/>
      <c r="E6" s="7"/>
      <c r="F6" s="8" t="s">
        <v>399</v>
      </c>
      <c r="G6" s="8"/>
      <c r="H6" s="8"/>
      <c r="I6" s="8"/>
      <c r="J6" s="9" t="s">
        <v>399</v>
      </c>
      <c r="K6" s="9"/>
      <c r="L6" s="9"/>
      <c r="M6" s="9"/>
      <c r="O6" s="6"/>
      <c r="P6" s="6"/>
      <c r="Q6" s="6"/>
    </row>
    <row r="7" spans="2:17" x14ac:dyDescent="0.25">
      <c r="B7" s="7"/>
      <c r="C7" s="7"/>
      <c r="D7" s="7"/>
      <c r="E7" s="7"/>
      <c r="F7" s="8"/>
      <c r="G7" s="8"/>
      <c r="H7" s="8"/>
      <c r="I7" s="8"/>
      <c r="J7" s="9"/>
      <c r="K7" s="9"/>
      <c r="L7" s="9"/>
      <c r="M7" s="9"/>
      <c r="O7" s="6"/>
      <c r="P7" s="6"/>
      <c r="Q7" s="6"/>
    </row>
    <row r="8" spans="2:17" x14ac:dyDescent="0.25">
      <c r="B8" s="7"/>
      <c r="C8" s="7"/>
      <c r="D8" s="7"/>
      <c r="E8" s="7"/>
      <c r="F8" s="8"/>
      <c r="G8" s="8"/>
      <c r="H8" s="8"/>
      <c r="I8" s="8"/>
      <c r="J8" s="9"/>
      <c r="K8" s="9"/>
      <c r="L8" s="9"/>
      <c r="M8" s="9"/>
      <c r="O8" s="6"/>
      <c r="P8" s="6"/>
      <c r="Q8" s="6"/>
    </row>
    <row r="9" ht="16" customHeight="1" spans="2:17" x14ac:dyDescent="0.25">
      <c r="B9" s="10" t="s">
        <v>400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O9" s="6"/>
      <c r="P9" s="6"/>
      <c r="Q9" s="6"/>
    </row>
    <row r="10" spans="15:17" x14ac:dyDescent="0.25">
      <c r="O10" s="6"/>
      <c r="P10" s="6"/>
      <c r="Q10" s="6"/>
    </row>
    <row r="11" spans="2:17" x14ac:dyDescent="0.25">
      <c r="B11" s="11" t="s">
        <v>401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O11" s="6"/>
      <c r="P11" s="6"/>
      <c r="Q11" s="6"/>
    </row>
    <row r="12" spans="2:17" x14ac:dyDescent="0.2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O12" s="6"/>
      <c r="P12" s="6"/>
      <c r="Q12" s="6"/>
    </row>
    <row r="13" spans="2:17" x14ac:dyDescent="0.2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O13" s="6"/>
      <c r="P13" s="6"/>
      <c r="Q13" s="6"/>
    </row>
    <row r="14" spans="2:17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O14" s="6"/>
      <c r="P14" s="6"/>
      <c r="Q14" s="6"/>
    </row>
    <row r="15" spans="2:17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O15" s="6"/>
      <c r="P15" s="6"/>
      <c r="Q15" s="6"/>
    </row>
    <row r="16" spans="2:17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O16" s="6"/>
      <c r="P16" s="6"/>
      <c r="Q16" s="6"/>
    </row>
    <row r="17" spans="2:17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O17" s="6"/>
      <c r="P17" s="6"/>
      <c r="Q17" s="6"/>
    </row>
    <row r="18" spans="2:17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O18" s="6"/>
      <c r="P18" s="6"/>
      <c r="Q18" s="6"/>
    </row>
    <row r="19" spans="2:17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O19" s="6"/>
      <c r="P19" s="6"/>
      <c r="Q19" s="6"/>
    </row>
    <row r="20" spans="2:17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O20" s="6"/>
      <c r="P20" s="6"/>
      <c r="Q20" s="6"/>
    </row>
    <row r="21" spans="2:17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O21" s="6"/>
      <c r="P21" s="6"/>
      <c r="Q21" s="6"/>
    </row>
    <row r="22" spans="2:17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O22" s="6"/>
      <c r="P22" s="6"/>
      <c r="Q22" s="6"/>
    </row>
    <row r="23" spans="2:17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O23" s="6"/>
      <c r="P23" s="6"/>
      <c r="Q23" s="6"/>
    </row>
    <row r="24" spans="2:17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O24" s="6"/>
      <c r="P24" s="6"/>
      <c r="Q24" s="6"/>
    </row>
    <row r="25" spans="2:17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O25" s="6"/>
      <c r="P25" s="6"/>
      <c r="Q25" s="6"/>
    </row>
    <row r="26" spans="2:17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O26" s="6"/>
      <c r="P26" s="6"/>
      <c r="Q26" s="6"/>
    </row>
    <row r="27" spans="15:17" x14ac:dyDescent="0.25">
      <c r="O27" s="6"/>
      <c r="P27" s="6"/>
      <c r="Q27" s="6"/>
    </row>
    <row r="28" spans="2:17" x14ac:dyDescent="0.25">
      <c r="B28" s="11" t="s">
        <v>402</v>
      </c>
      <c r="C28" s="11"/>
      <c r="D28" s="11"/>
      <c r="E28" s="11"/>
      <c r="F28" s="11"/>
      <c r="G28" s="11"/>
      <c r="H28" s="11" t="s">
        <v>403</v>
      </c>
      <c r="I28" s="11"/>
      <c r="J28" s="11"/>
      <c r="K28" s="11"/>
      <c r="L28" s="11"/>
      <c r="M28" s="11"/>
      <c r="O28" s="6"/>
      <c r="P28" s="6"/>
      <c r="Q28" s="6"/>
    </row>
    <row r="29" spans="2:17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6"/>
      <c r="P29" s="6"/>
      <c r="Q29" s="6"/>
    </row>
    <row r="30" spans="2:17" x14ac:dyDescent="0.2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O30" s="6"/>
      <c r="P30" s="6"/>
      <c r="Q30" s="6"/>
    </row>
    <row r="31" spans="2:17" x14ac:dyDescent="0.2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O31" s="6"/>
      <c r="P31" s="6"/>
      <c r="Q31" s="6"/>
    </row>
    <row r="32" spans="2:17" x14ac:dyDescent="0.2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O32" s="6"/>
      <c r="P32" s="6"/>
      <c r="Q32" s="6"/>
    </row>
    <row r="33" spans="2:17" x14ac:dyDescent="0.25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O33" s="6"/>
      <c r="P33" s="6"/>
      <c r="Q33" s="6"/>
    </row>
    <row r="34" spans="2:17" x14ac:dyDescent="0.2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O34" s="6"/>
      <c r="P34" s="6"/>
      <c r="Q34" s="6"/>
    </row>
    <row r="35" spans="2:17" x14ac:dyDescent="0.2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O35" s="6"/>
      <c r="P35" s="6"/>
      <c r="Q35" s="6"/>
    </row>
    <row r="36" spans="2:17" x14ac:dyDescent="0.2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O36" s="6"/>
      <c r="P36" s="6"/>
      <c r="Q36" s="6"/>
    </row>
    <row r="37" spans="2:17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O37" s="6"/>
      <c r="P37" s="6"/>
      <c r="Q37" s="6"/>
    </row>
    <row r="38" spans="2:17" x14ac:dyDescent="0.2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O38" s="6"/>
      <c r="P38" s="6"/>
      <c r="Q38" s="6"/>
    </row>
    <row r="39" spans="2:17" x14ac:dyDescent="0.2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O39" s="6"/>
      <c r="P39" s="6"/>
      <c r="Q39" s="6"/>
    </row>
    <row r="40" spans="2:17" x14ac:dyDescent="0.25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O40" s="6"/>
      <c r="P40" s="6"/>
      <c r="Q40" s="6"/>
    </row>
    <row r="41" spans="2:17" x14ac:dyDescent="0.2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O41" s="6"/>
      <c r="P41" s="6"/>
      <c r="Q41" s="6"/>
    </row>
    <row r="42" spans="2:17" x14ac:dyDescent="0.2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O42" s="6"/>
      <c r="P42" s="6"/>
      <c r="Q42" s="6"/>
    </row>
    <row r="43" spans="2:17" x14ac:dyDescent="0.2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O43" s="6"/>
      <c r="P43" s="6"/>
      <c r="Q43" s="6"/>
    </row>
    <row r="45" spans="2:17" x14ac:dyDescent="0.25">
      <c r="B45" s="12" t="s">
        <v>404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30" customHeight="1" spans="2:17" x14ac:dyDescent="0.25">
      <c r="B46" s="13" t="s">
        <v>405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ht="30" customHeight="1" spans="2:17" x14ac:dyDescent="0.25">
      <c r="B47" s="13" t="s">
        <v>406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ht="30" customHeight="1" spans="2:17" x14ac:dyDescent="0.25">
      <c r="B48" s="13" t="s">
        <v>407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</sheetData>
  <mergeCells count="17">
    <mergeCell ref="B1:Q2"/>
    <mergeCell ref="B3:Q3"/>
    <mergeCell ref="B5:E5"/>
    <mergeCell ref="F5:I5"/>
    <mergeCell ref="J5:M5"/>
    <mergeCell ref="O5:Q43"/>
    <mergeCell ref="B6:E8"/>
    <mergeCell ref="F6:I8"/>
    <mergeCell ref="J6:M8"/>
    <mergeCell ref="B9:M9"/>
    <mergeCell ref="B11:M26"/>
    <mergeCell ref="B28:G43"/>
    <mergeCell ref="H28:M43"/>
    <mergeCell ref="B45:Q45"/>
    <mergeCell ref="B46:Q46"/>
    <mergeCell ref="B47:Q47"/>
    <mergeCell ref="B48:Q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Servicios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2026-10-17T02:44:03Z</dcterms:created>
  <dcterms:modified xsi:type="dcterms:W3CDTF">2026-10-17T02:44:03Z</dcterms:modified>
</cp:coreProperties>
</file>