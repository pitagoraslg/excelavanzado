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8_{7FB38E70-7A0F-462D-8991-5986D3EE1D0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sumen del escenario" sheetId="2" r:id="rId1"/>
    <sheet name="Modelo" sheetId="1" r:id="rId2"/>
    <sheet name="Cómo se resolvió" sheetId="3" r:id="rId3"/>
  </sheets>
  <definedNames>
    <definedName name="Costo_variable">Modelo!$B$6</definedName>
    <definedName name="Gastos_fijos">Modelo!$B$7</definedName>
    <definedName name="Margen">Modelo!$B$14</definedName>
    <definedName name="Resultado">Modelo!$B$13</definedName>
    <definedName name="Servicios_al_mes">Modelo!$B$4</definedName>
    <definedName name="Tarifa_promedio">Modelo!$B$5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  <c r="B11" i="1"/>
  <c r="B10" i="1"/>
  <c r="B13" i="1" l="1"/>
  <c r="B14" i="1" s="1"/>
</calcChain>
</file>

<file path=xl/sharedStrings.xml><?xml version="1.0" encoding="utf-8"?>
<sst xmlns="http://schemas.openxmlformats.org/spreadsheetml/2006/main" count="54" uniqueCount="51">
  <si>
    <t>SUPUESTOS (se pueden cambiar)</t>
  </si>
  <si>
    <t>VALORES DE LOS ESCENARIOS</t>
  </si>
  <si>
    <t>Servicios al mes</t>
  </si>
  <si>
    <t>Variable</t>
  </si>
  <si>
    <t>Conservador</t>
  </si>
  <si>
    <t>Esperado</t>
  </si>
  <si>
    <t>Favorable</t>
  </si>
  <si>
    <t>Tarifa promedio por servicio</t>
  </si>
  <si>
    <t>Servicios al mes (B4)</t>
  </si>
  <si>
    <t>Costo variable por servicio</t>
  </si>
  <si>
    <t>Tarifa promedio (B5)</t>
  </si>
  <si>
    <t>Gastos fijos mensuales</t>
  </si>
  <si>
    <t>Costo variable (B6)</t>
  </si>
  <si>
    <t>RESULTADOS (fórmulas: no se escriben a mano)</t>
  </si>
  <si>
    <t>Ingresos</t>
  </si>
  <si>
    <t>Costos variables</t>
  </si>
  <si>
    <t>Gastos fijos</t>
  </si>
  <si>
    <t>Resultado (ganancia o pérdida)</t>
  </si>
  <si>
    <t>Margen sobre los ingresos</t>
  </si>
  <si>
    <t>Punto de equilibrio (servicios al mes):</t>
  </si>
  <si>
    <t>PUNTO DE EQUILIBRIO (Buscar objetivo)</t>
  </si>
  <si>
    <t>Centro Médico Horizonte · Modelo financiero mensual · EJEMPLO RESUELTO</t>
  </si>
  <si>
    <t>Entidad ficticia con fines didácticos. Práctica demostrativa con otros números: escenarios, Resumen del escenario y Buscar objetivo.</t>
  </si>
  <si>
    <t>Los gastos fijos (RD$ 1,100,000.00) no cambian en ningún escenario.</t>
  </si>
  <si>
    <t>Valor exacto que dio Buscar objetivo:</t>
  </si>
  <si>
    <t>Tarifa para ganar RD$ 400,000.00:</t>
  </si>
  <si>
    <t>Servicios_al_mes</t>
  </si>
  <si>
    <t>Tarifa_promedio</t>
  </si>
  <si>
    <t>Costo_variable</t>
  </si>
  <si>
    <t>Resultado</t>
  </si>
  <si>
    <t>Margen</t>
  </si>
  <si>
    <t>Se mantiene la demanda actual.</t>
  </si>
  <si>
    <t>Baja la demanda y suben los insumos.</t>
  </si>
  <si>
    <t>Nuevo convenio con una ARS.</t>
  </si>
  <si>
    <t>Resumen del escenario</t>
  </si>
  <si>
    <t>Celdas cambiantes:</t>
  </si>
  <si>
    <t>Valores actuales:</t>
  </si>
  <si>
    <t>Celdas de resultado:</t>
  </si>
  <si>
    <t>Notas: La columna de valores actuales representa los valores de las celdas cambiantes</t>
  </si>
  <si>
    <t>en el momento en que se creó el Informe resumen de escenario. Las celdas cambiantes de</t>
  </si>
  <si>
    <t>cada escenario se muestran en gris.</t>
  </si>
  <si>
    <t>Ejemplo resuelto · Centro Médico Horizonte (entidad ficticia) con otros números.</t>
  </si>
  <si>
    <t>1. Se seleccionaron las celdas cambiantes B4:B6 (servicios, tarifa y costo variable).</t>
  </si>
  <si>
    <t>2. Datos › Análisis de hipótesis › Administrador de escenarios › Agregar: Esperado (1500, 2200, 1300).</t>
  </si>
  <si>
    <t>3. Se agregaron Conservador (1300, 2100, 1400) y Favorable (1700, 2300, 1250).</t>
  </si>
  <si>
    <t>4. Con Mostrar se vio cada resultado en B13: Conservador -RD$ 190,000.00 · Esperado RD$ 250,000.00 · Favorable RD$ 685,000.00.</t>
  </si>
  <si>
    <t>5. Resumen… con celdas de resultado B13:B14 creó la hoja «Resumen del escenario».</t>
  </si>
  <si>
    <t>6. Buscar objetivo (B13 → 0 cambiando B4) dio 1,222.22 servicios: el punto de equilibrio es 1,223 (se redondea hacia arriba).</t>
  </si>
  <si>
    <t>7. Buscar objetivo (B13 → 400000 cambiando B5) dio una tarifa de RD$ 2,300.00 para ganar RD$ 400,000.00.</t>
  </si>
  <si>
    <t>8. Después de cada búsqueda se pulsó Cancelar para no dañar el modelo; la hoja Modelo muestra el escenario Esperado.</t>
  </si>
  <si>
    <t>Conclusión: el escenario Conservador es el de mayor riesgo (pierde RD$ 190,000.00). El centro necesita al menos 1,223 servicios al mes para no perder; hoy atiende 1,500.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</si>
</sst>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D$ &quot;#,##0.00;[Red]\-&quot;RD$ &quot;#,##0.00"/>
    <numFmt numFmtId="165" formatCode="&quot;RD$&quot;\ #,##0.00"/>
  </numFmts>
  <fonts count="1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name val="Calibri"/>
    </font>
    <font>
      <b/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E09F3E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3" fontId="4" fillId="4" borderId="1" xfId="0" applyNumberFormat="1" applyFont="1" applyFill="1" applyBorder="1"/>
    <xf numFmtId="0" fontId="4" fillId="5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164" fontId="4" fillId="4" borderId="1" xfId="0" applyNumberFormat="1" applyFont="1" applyFill="1" applyBorder="1"/>
    <xf numFmtId="3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6" borderId="1" xfId="0" applyNumberFormat="1" applyFill="1" applyBorder="1"/>
    <xf numFmtId="0" fontId="5" fillId="0" borderId="1" xfId="0" applyFont="1" applyBorder="1"/>
    <xf numFmtId="164" fontId="5" fillId="6" borderId="1" xfId="0" applyNumberFormat="1" applyFont="1" applyFill="1" applyBorder="1"/>
    <xf numFmtId="10" fontId="0" fillId="6" borderId="1" xfId="0" applyNumberFormat="1" applyFill="1" applyBorder="1"/>
    <xf numFmtId="0" fontId="4" fillId="0" borderId="0" xfId="0" applyFont="1"/>
    <xf numFmtId="3" fontId="0" fillId="4" borderId="1" xfId="0" applyNumberFormat="1" applyFill="1" applyBorder="1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4" fontId="0" fillId="4" borderId="1" xfId="0" applyNumberFormat="1" applyFill="1" applyBorder="1"/>
    <xf numFmtId="165" fontId="0" fillId="4" borderId="1" xfId="0" applyNumberFormat="1" applyFill="1" applyBorder="1"/>
    <xf numFmtId="0" fontId="0" fillId="0" borderId="0" xfId="0" applyFill="1" applyBorder="1" applyAlignment="1"/>
    <xf numFmtId="3" fontId="0" fillId="0" borderId="0" xfId="0" applyNumberFormat="1" applyFill="1" applyBorder="1" applyAlignment="1"/>
    <xf numFmtId="164" fontId="0" fillId="0" borderId="0" xfId="0" applyNumberFormat="1" applyFill="1" applyBorder="1" applyAlignment="1"/>
    <xf numFmtId="10" fontId="0" fillId="0" borderId="3" xfId="0" applyNumberFormat="1" applyFill="1" applyBorder="1" applyAlignment="1"/>
    <xf numFmtId="0" fontId="7" fillId="7" borderId="4" xfId="0" applyFont="1" applyFill="1" applyBorder="1" applyAlignment="1">
      <alignment horizontal="left"/>
    </xf>
    <xf numFmtId="0" fontId="7" fillId="7" borderId="2" xfId="0" applyFont="1" applyFill="1" applyBorder="1" applyAlignment="1">
      <alignment horizontal="left"/>
    </xf>
    <xf numFmtId="0" fontId="0" fillId="0" borderId="5" xfId="0" applyFill="1" applyBorder="1" applyAlignment="1"/>
    <xf numFmtId="0" fontId="8" fillId="8" borderId="0" xfId="0" applyFont="1" applyFill="1" applyBorder="1" applyAlignment="1">
      <alignment horizontal="left"/>
    </xf>
    <xf numFmtId="0" fontId="9" fillId="8" borderId="5" xfId="0" applyFont="1" applyFill="1" applyBorder="1" applyAlignment="1">
      <alignment horizontal="left"/>
    </xf>
    <xf numFmtId="0" fontId="8" fillId="8" borderId="3" xfId="0" applyFont="1" applyFill="1" applyBorder="1" applyAlignment="1">
      <alignment horizontal="left"/>
    </xf>
    <xf numFmtId="0" fontId="10" fillId="7" borderId="2" xfId="0" applyFont="1" applyFill="1" applyBorder="1" applyAlignment="1">
      <alignment horizontal="right"/>
    </xf>
    <xf numFmtId="0" fontId="10" fillId="7" borderId="4" xfId="0" applyFont="1" applyFill="1" applyBorder="1" applyAlignment="1">
      <alignment horizontal="right"/>
    </xf>
    <xf numFmtId="3" fontId="0" fillId="9" borderId="0" xfId="0" applyNumberFormat="1" applyFill="1" applyBorder="1" applyAlignment="1"/>
    <xf numFmtId="164" fontId="0" fillId="9" borderId="0" xfId="0" applyNumberFormat="1" applyFill="1" applyBorder="1" applyAlignment="1"/>
    <xf numFmtId="0" fontId="11" fillId="0" borderId="0" xfId="0" applyFont="1" applyFill="1" applyBorder="1" applyAlignment="1">
      <alignment vertical="top" wrapText="1"/>
    </xf>
    <xf numFmtId="0" fontId="6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764F9-DD02-4BFE-8F09-F6B05CA24EE6}">
  <sheetPr>
    <outlinePr summaryBelow="0"/>
  </sheetPr>
  <dimension ref="B1:G14"/>
  <sheetViews>
    <sheetView showGridLines="0" workbookViewId="0"/>
  </sheetViews>
  <sheetFormatPr baseColWidth="10" defaultRowHeight="15" outlineLevelRow="1" outlineLevelCol="1" x14ac:dyDescent="0.25"/>
  <cols>
    <col min="3" max="3" width="16.28515625" bestFit="1" customWidth="1"/>
    <col min="4" max="7" width="14.7109375" bestFit="1" customWidth="1" outlineLevel="1"/>
  </cols>
  <sheetData>
    <row r="1" spans="2:7" ht="15.75" thickBot="1" x14ac:dyDescent="0.3"/>
    <row r="2" spans="2:7" ht="15.75" x14ac:dyDescent="0.25">
      <c r="B2" s="24" t="s">
        <v>34</v>
      </c>
      <c r="C2" s="24"/>
      <c r="D2" s="29"/>
      <c r="E2" s="29"/>
      <c r="F2" s="29"/>
      <c r="G2" s="29"/>
    </row>
    <row r="3" spans="2:7" ht="15.75" collapsed="1" x14ac:dyDescent="0.25">
      <c r="B3" s="23"/>
      <c r="C3" s="23"/>
      <c r="D3" s="30" t="s">
        <v>36</v>
      </c>
      <c r="E3" s="30" t="s">
        <v>5</v>
      </c>
      <c r="F3" s="30" t="s">
        <v>4</v>
      </c>
      <c r="G3" s="30" t="s">
        <v>6</v>
      </c>
    </row>
    <row r="4" spans="2:7" ht="22.5" hidden="1" outlineLevel="1" x14ac:dyDescent="0.25">
      <c r="B4" s="26"/>
      <c r="C4" s="26"/>
      <c r="D4" s="19"/>
      <c r="E4" s="33" t="s">
        <v>31</v>
      </c>
      <c r="F4" s="33" t="s">
        <v>32</v>
      </c>
      <c r="G4" s="33" t="s">
        <v>33</v>
      </c>
    </row>
    <row r="5" spans="2:7" x14ac:dyDescent="0.25">
      <c r="B5" s="27" t="s">
        <v>35</v>
      </c>
      <c r="C5" s="27"/>
      <c r="D5" s="25"/>
      <c r="E5" s="25"/>
      <c r="F5" s="25"/>
      <c r="G5" s="25"/>
    </row>
    <row r="6" spans="2:7" outlineLevel="1" x14ac:dyDescent="0.25">
      <c r="B6" s="26"/>
      <c r="C6" s="26" t="s">
        <v>26</v>
      </c>
      <c r="D6" s="20">
        <v>1500</v>
      </c>
      <c r="E6" s="31">
        <v>1500</v>
      </c>
      <c r="F6" s="31">
        <v>1300</v>
      </c>
      <c r="G6" s="31">
        <v>1700</v>
      </c>
    </row>
    <row r="7" spans="2:7" outlineLevel="1" x14ac:dyDescent="0.25">
      <c r="B7" s="26"/>
      <c r="C7" s="26" t="s">
        <v>27</v>
      </c>
      <c r="D7" s="21">
        <v>2200</v>
      </c>
      <c r="E7" s="32">
        <v>2200</v>
      </c>
      <c r="F7" s="32">
        <v>2100</v>
      </c>
      <c r="G7" s="32">
        <v>2300</v>
      </c>
    </row>
    <row r="8" spans="2:7" outlineLevel="1" x14ac:dyDescent="0.25">
      <c r="B8" s="26"/>
      <c r="C8" s="26" t="s">
        <v>28</v>
      </c>
      <c r="D8" s="21">
        <v>1300</v>
      </c>
      <c r="E8" s="32">
        <v>1300</v>
      </c>
      <c r="F8" s="32">
        <v>1400</v>
      </c>
      <c r="G8" s="32">
        <v>1250</v>
      </c>
    </row>
    <row r="9" spans="2:7" x14ac:dyDescent="0.25">
      <c r="B9" s="27" t="s">
        <v>37</v>
      </c>
      <c r="C9" s="27"/>
      <c r="D9" s="25"/>
      <c r="E9" s="25"/>
      <c r="F9" s="25"/>
      <c r="G9" s="25"/>
    </row>
    <row r="10" spans="2:7" outlineLevel="1" x14ac:dyDescent="0.25">
      <c r="B10" s="26"/>
      <c r="C10" s="26" t="s">
        <v>29</v>
      </c>
      <c r="D10" s="21">
        <v>250000</v>
      </c>
      <c r="E10" s="21">
        <v>250000</v>
      </c>
      <c r="F10" s="21">
        <v>-190000</v>
      </c>
      <c r="G10" s="21">
        <v>685000</v>
      </c>
    </row>
    <row r="11" spans="2:7" ht="15.75" outlineLevel="1" thickBot="1" x14ac:dyDescent="0.3">
      <c r="B11" s="28"/>
      <c r="C11" s="28" t="s">
        <v>30</v>
      </c>
      <c r="D11" s="22">
        <v>7.5757575757575801E-2</v>
      </c>
      <c r="E11" s="22">
        <v>7.5757575757575801E-2</v>
      </c>
      <c r="F11" s="22">
        <v>-6.95970695970696E-2</v>
      </c>
      <c r="G11" s="22">
        <v>0.17519181585677701</v>
      </c>
    </row>
    <row r="12" spans="2:7" x14ac:dyDescent="0.25">
      <c r="B12" t="s">
        <v>38</v>
      </c>
    </row>
    <row r="13" spans="2:7" x14ac:dyDescent="0.25">
      <c r="B13" t="s">
        <v>39</v>
      </c>
    </row>
    <row r="14" spans="2:7" x14ac:dyDescent="0.25">
      <c r="B14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showGridLines="0" tabSelected="1" workbookViewId="0">
      <selection sqref="A1:G1"/>
    </sheetView>
  </sheetViews>
  <sheetFormatPr baseColWidth="10" defaultColWidth="9.140625" defaultRowHeight="15" x14ac:dyDescent="0.25"/>
  <cols>
    <col min="1" max="1" width="38" customWidth="1"/>
    <col min="2" max="2" width="22" customWidth="1"/>
    <col min="3" max="3" width="3" customWidth="1"/>
    <col min="4" max="4" width="30" customWidth="1"/>
    <col min="5" max="7" width="18" customWidth="1"/>
  </cols>
  <sheetData>
    <row r="1" spans="1:7" ht="27.95" customHeight="1" x14ac:dyDescent="0.35">
      <c r="A1" s="14" t="s">
        <v>21</v>
      </c>
      <c r="B1" s="14"/>
      <c r="C1" s="14"/>
      <c r="D1" s="14"/>
      <c r="E1" s="14"/>
      <c r="F1" s="14"/>
      <c r="G1" s="14"/>
    </row>
    <row r="2" spans="1:7" x14ac:dyDescent="0.25">
      <c r="A2" s="15" t="s">
        <v>22</v>
      </c>
      <c r="B2" s="15"/>
      <c r="C2" s="15"/>
      <c r="D2" s="15"/>
      <c r="E2" s="15"/>
      <c r="F2" s="15"/>
      <c r="G2" s="15"/>
    </row>
    <row r="3" spans="1:7" x14ac:dyDescent="0.25">
      <c r="A3" s="16" t="s">
        <v>0</v>
      </c>
      <c r="B3" s="16"/>
      <c r="D3" s="16" t="s">
        <v>1</v>
      </c>
      <c r="E3" s="16"/>
      <c r="F3" s="16"/>
      <c r="G3" s="16"/>
    </row>
    <row r="4" spans="1:7" x14ac:dyDescent="0.25">
      <c r="A4" s="1" t="s">
        <v>2</v>
      </c>
      <c r="B4" s="2">
        <v>1500</v>
      </c>
      <c r="D4" s="3" t="s">
        <v>3</v>
      </c>
      <c r="E4" s="4" t="s">
        <v>4</v>
      </c>
      <c r="F4" s="4" t="s">
        <v>5</v>
      </c>
      <c r="G4" s="4" t="s">
        <v>6</v>
      </c>
    </row>
    <row r="5" spans="1:7" x14ac:dyDescent="0.25">
      <c r="A5" s="1" t="s">
        <v>7</v>
      </c>
      <c r="B5" s="5">
        <v>2200</v>
      </c>
      <c r="D5" s="1" t="s">
        <v>8</v>
      </c>
      <c r="E5" s="6">
        <v>1300</v>
      </c>
      <c r="F5" s="6">
        <v>1500</v>
      </c>
      <c r="G5" s="6">
        <v>1700</v>
      </c>
    </row>
    <row r="6" spans="1:7" x14ac:dyDescent="0.25">
      <c r="A6" s="1" t="s">
        <v>9</v>
      </c>
      <c r="B6" s="5">
        <v>1300</v>
      </c>
      <c r="D6" s="1" t="s">
        <v>10</v>
      </c>
      <c r="E6" s="7">
        <v>2100</v>
      </c>
      <c r="F6" s="7">
        <v>2200</v>
      </c>
      <c r="G6" s="7">
        <v>2300</v>
      </c>
    </row>
    <row r="7" spans="1:7" x14ac:dyDescent="0.25">
      <c r="A7" s="1" t="s">
        <v>11</v>
      </c>
      <c r="B7" s="5">
        <v>1100000</v>
      </c>
      <c r="D7" s="1" t="s">
        <v>12</v>
      </c>
      <c r="E7" s="7">
        <v>1400</v>
      </c>
      <c r="F7" s="7">
        <v>1300</v>
      </c>
      <c r="G7" s="7">
        <v>1250</v>
      </c>
    </row>
    <row r="8" spans="1:7" x14ac:dyDescent="0.25">
      <c r="D8" s="15" t="s">
        <v>23</v>
      </c>
      <c r="E8" s="15"/>
      <c r="F8" s="15"/>
      <c r="G8" s="15"/>
    </row>
    <row r="9" spans="1:7" x14ac:dyDescent="0.25">
      <c r="A9" s="16" t="s">
        <v>13</v>
      </c>
      <c r="B9" s="16"/>
    </row>
    <row r="10" spans="1:7" x14ac:dyDescent="0.25">
      <c r="A10" s="1" t="s">
        <v>14</v>
      </c>
      <c r="B10" s="8">
        <f>B4*B5</f>
        <v>3300000</v>
      </c>
    </row>
    <row r="11" spans="1:7" ht="30" customHeight="1" x14ac:dyDescent="0.25">
      <c r="A11" s="1" t="s">
        <v>15</v>
      </c>
      <c r="B11" s="8">
        <f>B4*B6</f>
        <v>1950000</v>
      </c>
    </row>
    <row r="12" spans="1:7" x14ac:dyDescent="0.25">
      <c r="A12" s="1" t="s">
        <v>16</v>
      </c>
      <c r="B12" s="8">
        <f>B7</f>
        <v>1100000</v>
      </c>
    </row>
    <row r="13" spans="1:7" ht="15.75" x14ac:dyDescent="0.25">
      <c r="A13" s="9" t="s">
        <v>17</v>
      </c>
      <c r="B13" s="10">
        <f>B10-B11-B12</f>
        <v>250000</v>
      </c>
    </row>
    <row r="14" spans="1:7" x14ac:dyDescent="0.25">
      <c r="A14" s="1" t="s">
        <v>18</v>
      </c>
      <c r="B14" s="11">
        <f>B13/B10</f>
        <v>7.575757575757576E-2</v>
      </c>
    </row>
    <row r="15" spans="1:7" x14ac:dyDescent="0.25">
      <c r="D15" s="16" t="s">
        <v>20</v>
      </c>
      <c r="E15" s="16"/>
      <c r="F15" s="16"/>
      <c r="G15" s="16"/>
    </row>
    <row r="16" spans="1:7" x14ac:dyDescent="0.25">
      <c r="D16" s="12" t="s">
        <v>19</v>
      </c>
      <c r="F16" s="13">
        <v>1223</v>
      </c>
    </row>
    <row r="17" spans="4:6" x14ac:dyDescent="0.25">
      <c r="D17" s="12" t="s">
        <v>24</v>
      </c>
      <c r="F17" s="17">
        <v>1222.22</v>
      </c>
    </row>
    <row r="18" spans="4:6" x14ac:dyDescent="0.25">
      <c r="D18" s="12" t="s">
        <v>25</v>
      </c>
      <c r="F18" s="18">
        <v>2300</v>
      </c>
    </row>
  </sheetData>
  <scenarios current="0" show="0" sqref="B13:B14">
    <scenario name="Esperado" locked="1" count="3" user="Autor" comment="Se mantiene la demanda actual.">
      <inputCells r="B4" val="1500"/>
      <inputCells r="B5" val="2200"/>
      <inputCells r="B6" val="1300"/>
    </scenario>
    <scenario name="Conservador" locked="1" count="3" user="Autor" comment="Baja la demanda y suben los insumos.">
      <inputCells r="B4" val="1300"/>
      <inputCells r="B5" val="2100"/>
      <inputCells r="B6" val="1400"/>
    </scenario>
    <scenario name="Favorable" locked="1" count="3" user="Autor" comment="Nuevo convenio con una ARS.">
      <inputCells r="B4" val="1700"/>
      <inputCells r="B5" val="2300"/>
      <inputCells r="B6" val="1250"/>
    </scenario>
  </scenarios>
  <dataConsolidate/>
  <mergeCells count="7">
    <mergeCell ref="A9:B9"/>
    <mergeCell ref="D15:G15"/>
    <mergeCell ref="A1:G1"/>
    <mergeCell ref="A2:G2"/>
    <mergeCell ref="A3:B3"/>
    <mergeCell ref="D3:G3"/>
    <mergeCell ref="D8:G8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21624-F1A7-481B-B63A-BE568CDCA586}">
  <dimension ref="A1:A12"/>
  <sheetViews>
    <sheetView workbookViewId="0"/>
  </sheetViews>
  <sheetFormatPr baseColWidth="10" defaultRowHeight="15" x14ac:dyDescent="0.25"/>
  <cols>
    <col min="1" max="1" width="120.7109375" customWidth="1"/>
  </cols>
  <sheetData>
    <row r="1" spans="1:1" ht="18.75" x14ac:dyDescent="0.3">
      <c r="A1" s="35" t="s">
        <v>41</v>
      </c>
    </row>
    <row r="3" spans="1:1" x14ac:dyDescent="0.25">
      <c r="A3" t="s">
        <v>42</v>
      </c>
    </row>
    <row r="4" spans="1:1" x14ac:dyDescent="0.25">
      <c r="A4" t="s">
        <v>43</v>
      </c>
    </row>
    <row r="5" spans="1:1" x14ac:dyDescent="0.25">
      <c r="A5" t="s">
        <v>44</v>
      </c>
    </row>
    <row r="6" spans="1:1" x14ac:dyDescent="0.25">
      <c r="A6" t="s">
        <v>45</v>
      </c>
    </row>
    <row r="7" spans="1:1" x14ac:dyDescent="0.25">
      <c r="A7" t="s">
        <v>46</v>
      </c>
    </row>
    <row r="8" spans="1:1" x14ac:dyDescent="0.25">
      <c r="A8" t="s">
        <v>47</v>
      </c>
    </row>
    <row r="9" spans="1:1" x14ac:dyDescent="0.25">
      <c r="A9" t="s">
        <v>48</v>
      </c>
    </row>
    <row r="10" spans="1:1" x14ac:dyDescent="0.25">
      <c r="A10" t="s">
        <v>49</v>
      </c>
    </row>
    <row r="12" spans="1:1" x14ac:dyDescent="0.25">
      <c r="A12" s="3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6</vt:i4>
      </vt:variant>
    </vt:vector>
  </HeadingPairs>
  <TitlesOfParts>
    <vt:vector size="9" baseType="lpstr">
      <vt:lpstr>Resumen del escenario</vt:lpstr>
      <vt:lpstr>Modelo</vt:lpstr>
      <vt:lpstr>Cómo se resolvió</vt:lpstr>
      <vt:lpstr>Costo_variable</vt:lpstr>
      <vt:lpstr>Gastos_fijos</vt:lpstr>
      <vt:lpstr>Margen</vt:lpstr>
      <vt:lpstr>Resultado</vt:lpstr>
      <vt:lpstr>Servicios_al_mes</vt:lpstr>
      <vt:lpstr>Tarifa_promedio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2026-10-19T02:47:54Z</dcterms:created>
  <dcterms:modified xsi:type="dcterms:W3CDTF">2026-10-26T00:49:32Z</dcterms:modified>
  <cp:category/>
</cp:coreProperties>
</file>