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definedNames>
    <definedName name="Servicios_al_mes">Modelo!$B$4</definedName>
    <definedName name="Tarifa_promedio">Modelo!$B$5</definedName>
    <definedName name="Costo_variable">Modelo!$B$6</definedName>
    <definedName name="Gastos_fijos">Modelo!$B$7</definedName>
    <definedName name="Resultado">Modelo!$B$13</definedName>
    <definedName name="Margen">Modelo!$B$14</definedName>
  </definedNames>
  <calcPr calcId="171027" fullCalcOnLoad="1"/>
</workbook>
</file>

<file path=xl/sharedStrings.xml><?xml version="1.0" encoding="utf-8"?>
<sst xmlns="http://schemas.openxmlformats.org/spreadsheetml/2006/main" count="35" uniqueCount="31">
  <si>
    <t>Centro Médico Horizonte · Modelo financiero mensual</t>
  </si>
  <si>
    <t>Entidad ficticia con fines didácticos. Cambie solo las celdas amarillas; las verdes se calculan solas.</t>
  </si>
  <si>
    <t>SUPUESTOS (se pueden cambiar)</t>
  </si>
  <si>
    <t>VALORES DE LOS ESCENARIOS</t>
  </si>
  <si>
    <t>Servicios al mes</t>
  </si>
  <si>
    <t>Variable</t>
  </si>
  <si>
    <t>Conservador</t>
  </si>
  <si>
    <t>Esperado</t>
  </si>
  <si>
    <t>Favorable</t>
  </si>
  <si>
    <t>Tarifa promedio por servicio</t>
  </si>
  <si>
    <t>Servicios al mes (B4)</t>
  </si>
  <si>
    <t>Costo variable por servicio</t>
  </si>
  <si>
    <t>Tarifa promedio (B5)</t>
  </si>
  <si>
    <t>Gastos fijos mensuales</t>
  </si>
  <si>
    <t>Costo variable (B6)</t>
  </si>
  <si>
    <t>Los gastos fijos (RD$ 900,000.00) no cambian en ningún escenario.</t>
  </si>
  <si>
    <t>RESULTADOS (fórmulas: no se escriben a mano)</t>
  </si>
  <si>
    <t>Ingresos</t>
  </si>
  <si>
    <t>¿QUÉ VARIABLE PESA MÁS? (súbala 10 %)</t>
  </si>
  <si>
    <t>Costos variables</t>
  </si>
  <si>
    <t>Valor con +10 %</t>
  </si>
  <si>
    <t>Resultado obtenido</t>
  </si>
  <si>
    <t>Cambio vs. RD$ 420,000</t>
  </si>
  <si>
    <t>Gastos fijos</t>
  </si>
  <si>
    <t>Resultado (ganancia o pérdida)</t>
  </si>
  <si>
    <t>Margen sobre los ingresos</t>
  </si>
  <si>
    <t>Gastos fijos (B7)</t>
  </si>
  <si>
    <t>Punto de equilibrio (servicios al mes):</t>
  </si>
  <si>
    <t>RECOMENDACIÓN A LA ADMINISTRACIÓN (escriba aquí 2 o 3 líneas)</t>
  </si>
  <si>
    <t/>
  </si>
  <si>
    <t>PUNTO DE EQUILIBRIO (Buscar objetivo)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</si>
</sst>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D$ &quot;#,##0.00;[Red]-&quot;RD$ &quot;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0"/>
    </font>
    <font>
      <b/>
      <color rgb="FFFFFFFF"/>
    </font>
    <font>
      <b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09F3E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0" fillId="0" borderId="1" xfId="0" applyBorder="1"/>
    <xf numFmtId="3" fontId="4" fillId="4" borderId="1" xfId="0" applyNumberFormat="1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/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 wrapText="1"/>
    </xf>
    <xf numFmtId="164" fontId="0" fillId="4" borderId="1" xfId="0" applyNumberFormat="1" applyFill="1" applyBorder="1"/>
    <xf numFmtId="0" fontId="5" fillId="0" borderId="1" xfId="0" applyFont="1" applyBorder="1"/>
    <xf numFmtId="164" fontId="5" fillId="6" borderId="1" xfId="0" applyNumberFormat="1" applyFont="1" applyFill="1" applyBorder="1"/>
    <xf numFmtId="10" fontId="0" fillId="6" borderId="1" xfId="0" applyNumberFormat="1" applyFill="1" applyBorder="1"/>
    <xf numFmtId="0" fontId="4" fillId="0" borderId="0" xfId="0" applyFont="1"/>
    <xf numFmtId="3" fontId="0" fillId="4" borderId="1" xfId="0" applyNumberForma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22" customWidth="1"/>
    <col min="3" max="3" width="3" customWidth="1"/>
    <col min="4" max="4" width="30" customWidth="1"/>
    <col min="5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D3" s="3" t="s">
        <v>3</v>
      </c>
      <c r="E3" s="3"/>
      <c r="F3" s="3"/>
      <c r="G3" s="3"/>
    </row>
    <row r="4" spans="1:7" x14ac:dyDescent="0.25">
      <c r="A4" s="4" t="s">
        <v>4</v>
      </c>
      <c r="B4" s="5">
        <v>1200</v>
      </c>
      <c r="D4" s="6" t="s">
        <v>5</v>
      </c>
      <c r="E4" s="7" t="s">
        <v>6</v>
      </c>
      <c r="F4" s="7" t="s">
        <v>7</v>
      </c>
      <c r="G4" s="7" t="s">
        <v>8</v>
      </c>
    </row>
    <row r="5" spans="1:7" x14ac:dyDescent="0.25">
      <c r="A5" s="4" t="s">
        <v>9</v>
      </c>
      <c r="B5" s="8">
        <v>2500</v>
      </c>
      <c r="D5" s="4" t="s">
        <v>10</v>
      </c>
      <c r="E5" s="9">
        <v>1000</v>
      </c>
      <c r="F5" s="9">
        <v>1200</v>
      </c>
      <c r="G5" s="9">
        <v>1400</v>
      </c>
    </row>
    <row r="6" spans="1:7" x14ac:dyDescent="0.25">
      <c r="A6" s="4" t="s">
        <v>11</v>
      </c>
      <c r="B6" s="8">
        <v>1400</v>
      </c>
      <c r="D6" s="4" t="s">
        <v>12</v>
      </c>
      <c r="E6" s="10">
        <v>2400</v>
      </c>
      <c r="F6" s="10">
        <v>2500</v>
      </c>
      <c r="G6" s="10">
        <v>2600</v>
      </c>
    </row>
    <row r="7" spans="1:7" x14ac:dyDescent="0.25">
      <c r="A7" s="4" t="s">
        <v>13</v>
      </c>
      <c r="B7" s="8">
        <v>900000</v>
      </c>
      <c r="D7" s="4" t="s">
        <v>14</v>
      </c>
      <c r="E7" s="10">
        <v>1550</v>
      </c>
      <c r="F7" s="10">
        <v>1400</v>
      </c>
      <c r="G7" s="10">
        <v>1350</v>
      </c>
    </row>
    <row r="8" spans="4:7" x14ac:dyDescent="0.25">
      <c r="D8" s="2" t="s">
        <v>15</v>
      </c>
      <c r="E8" s="2"/>
      <c r="F8" s="2"/>
      <c r="G8" s="2"/>
    </row>
    <row r="9" spans="1:2" x14ac:dyDescent="0.25">
      <c r="A9" s="3" t="s">
        <v>16</v>
      </c>
      <c r="B9" s="3"/>
    </row>
    <row r="10" spans="1:7" x14ac:dyDescent="0.25">
      <c r="A10" s="4" t="s">
        <v>17</v>
      </c>
      <c r="B10" s="11">
        <f>B4*B5</f>
        <v>3000000</v>
      </c>
    </row>
    <row r="11" ht="30" customHeight="1" spans="1:7" x14ac:dyDescent="0.25">
      <c r="A11" s="4" t="s">
        <v>19</v>
      </c>
      <c r="B11" s="11">
        <f>B4*B6</f>
        <v>1680000</v>
      </c>
    </row>
    <row r="12" spans="1:7" x14ac:dyDescent="0.25">
      <c r="A12" s="4" t="s">
        <v>23</v>
      </c>
      <c r="B12" s="11">
        <f>B7</f>
        <v>900000</v>
      </c>
    </row>
    <row r="13" spans="1:7" x14ac:dyDescent="0.25">
      <c r="A13" s="15" t="s">
        <v>24</v>
      </c>
      <c r="B13" s="16">
        <f>B10-B11-B12</f>
        <v>420000</v>
      </c>
    </row>
    <row r="14" spans="1:7" x14ac:dyDescent="0.25">
      <c r="A14" s="4" t="s">
        <v>25</v>
      </c>
      <c r="B14" s="17">
        <f>B13/B10</f>
        <v>0.14</v>
      </c>
    </row>
    <row r="15" spans="1:7" x14ac:dyDescent="0.25">
      <c r="D15" s="3" t="s">
        <v>30</v>
      </c>
      <c r="E15" s="3"/>
      <c r="F15" s="3"/>
      <c r="G15" s="3"/>
    </row>
    <row r="16" spans="4:6" x14ac:dyDescent="0.25">
      <c r="D16" s="18" t="s">
        <v>27</v>
      </c>
      <c r="F16" s="19"/>
    </row>
  </sheetData>
  <mergeCells count="7">
    <mergeCell ref="A1:G1"/>
    <mergeCell ref="A2:G2"/>
    <mergeCell ref="A3:B3"/>
    <mergeCell ref="D3:G3"/>
    <mergeCell ref="D8:G8"/>
    <mergeCell ref="A9:B9"/>
    <mergeCell ref="D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2026-10-19T02:47:54Z</dcterms:created>
  <dcterms:modified xsi:type="dcterms:W3CDTF">2026-10-19T02:47:54Z</dcterms:modified>
</cp:coreProperties>
</file>