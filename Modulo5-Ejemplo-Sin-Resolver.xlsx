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filterPrivacy="1"/>
  <xr:revisionPtr revIDLastSave="0" documentId="8_{2B2505B4-35DE-464B-B56D-CD0DD5C002A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odelo" sheetId="1" r:id="rId1"/>
  </sheets>
  <definedNames>
    <definedName name="Costo_variable">Modelo!$B$6</definedName>
    <definedName name="Gastos_fijos">Modelo!$B$7</definedName>
    <definedName name="Margen">Modelo!$B$14</definedName>
    <definedName name="Resultado">Modelo!$B$13</definedName>
    <definedName name="Servicios_al_mes">Modelo!$B$4</definedName>
    <definedName name="Tarifa_promedio">Modelo!$B$5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2" i="1" l="1"/>
  <c r="B11" i="1"/>
  <c r="B10" i="1"/>
  <c r="B13" i="1" s="1"/>
  <c r="B14" i="1" s="1"/>
</calcChain>
</file>

<file path=xl/sharedStrings.xml><?xml version="1.0" encoding="utf-8"?>
<sst xmlns="http://schemas.openxmlformats.org/spreadsheetml/2006/main" count="24" uniqueCount="24">
  <si>
    <t>SUPUESTOS (se pueden cambiar)</t>
  </si>
  <si>
    <t>VALORES DE LOS ESCENARIOS</t>
  </si>
  <si>
    <t>Servicios al mes</t>
  </si>
  <si>
    <t>Variable</t>
  </si>
  <si>
    <t>Conservador</t>
  </si>
  <si>
    <t>Esperado</t>
  </si>
  <si>
    <t>Favorable</t>
  </si>
  <si>
    <t>Tarifa promedio por servicio</t>
  </si>
  <si>
    <t>Servicios al mes (B4)</t>
  </si>
  <si>
    <t>Costo variable por servicio</t>
  </si>
  <si>
    <t>Tarifa promedio (B5)</t>
  </si>
  <si>
    <t>Gastos fijos mensuales</t>
  </si>
  <si>
    <t>Costo variable (B6)</t>
  </si>
  <si>
    <t>RESULTADOS (fórmulas: no se escriben a mano)</t>
  </si>
  <si>
    <t>Ingresos</t>
  </si>
  <si>
    <t>Costos variables</t>
  </si>
  <si>
    <t>Gastos fijos</t>
  </si>
  <si>
    <t>Resultado (ganancia o pérdida)</t>
  </si>
  <si>
    <t>Margen sobre los ingresos</t>
  </si>
  <si>
    <t>Punto de equilibrio (servicios al mes):</t>
  </si>
  <si>
    <t>PUNTO DE EQUILIBRIO (Buscar objetivo)</t>
  </si>
  <si>
    <t>Centro Médico Horizonte · Modelo financiero mensual · ACTIVIDAD EXPLICATIVA</t>
  </si>
  <si>
    <t>Entidad ficticia con fines didácticos. Archivo sin resolver: siga la práctica demostrativa paso a paso.</t>
  </si>
  <si>
    <t>Los gastos fijos (RD$ 1,100,000.00) no cambian en ningún escenario.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</si>
</sst>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D$ &quot;#,##0.00;[Red]\-&quot;RD$ &quot;#,##0.00"/>
  </numFmts>
  <fonts count="6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i/>
      <sz val="10"/>
      <color rgb="FF595959"/>
      <name val="Calibri"/>
    </font>
    <font>
      <b/>
      <sz val="11"/>
      <color rgb="FFFFFFFF"/>
      <name val="Calibri"/>
    </font>
    <font>
      <b/>
      <sz val="11"/>
      <name val="Calibri"/>
    </font>
    <font>
      <b/>
      <sz val="12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F4C5C"/>
      </patternFill>
    </fill>
    <fill>
      <patternFill patternType="solid">
        <fgColor rgb="FFE09F3E"/>
      </patternFill>
    </fill>
    <fill>
      <patternFill patternType="solid">
        <fgColor rgb="FFFFF2CC"/>
      </patternFill>
    </fill>
    <fill>
      <patternFill patternType="solid">
        <fgColor rgb="FFF2F2F2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/>
    <xf numFmtId="3" fontId="4" fillId="4" borderId="1" xfId="0" applyNumberFormat="1" applyFont="1" applyFill="1" applyBorder="1"/>
    <xf numFmtId="0" fontId="4" fillId="5" borderId="1" xfId="0" applyFont="1" applyFill="1" applyBorder="1" applyAlignment="1">
      <alignment horizontal="left"/>
    </xf>
    <xf numFmtId="0" fontId="4" fillId="5" borderId="1" xfId="0" applyFont="1" applyFill="1" applyBorder="1" applyAlignment="1">
      <alignment horizontal="center"/>
    </xf>
    <xf numFmtId="164" fontId="4" fillId="4" borderId="1" xfId="0" applyNumberFormat="1" applyFont="1" applyFill="1" applyBorder="1"/>
    <xf numFmtId="3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4" fontId="0" fillId="6" borderId="1" xfId="0" applyNumberFormat="1" applyFill="1" applyBorder="1"/>
    <xf numFmtId="0" fontId="5" fillId="0" borderId="1" xfId="0" applyFont="1" applyBorder="1"/>
    <xf numFmtId="164" fontId="5" fillId="6" borderId="1" xfId="0" applyNumberFormat="1" applyFont="1" applyFill="1" applyBorder="1"/>
    <xf numFmtId="10" fontId="0" fillId="6" borderId="1" xfId="0" applyNumberFormat="1" applyFill="1" applyBorder="1"/>
    <xf numFmtId="0" fontId="4" fillId="0" borderId="0" xfId="0" applyFont="1"/>
    <xf numFmtId="3" fontId="0" fillId="4" borderId="1" xfId="0" applyNumberFormat="1" applyFill="1" applyBorder="1"/>
    <xf numFmtId="0" fontId="1" fillId="2" borderId="0" xfId="0" applyFont="1" applyFill="1"/>
    <xf numFmtId="0" fontId="2" fillId="0" borderId="0" xfId="0" applyFont="1"/>
    <xf numFmtId="0" fontId="3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"/>
  <sheetViews>
    <sheetView showGridLines="0" tabSelected="1" workbookViewId="0">
      <selection activeCell="B4" sqref="B4"/>
    </sheetView>
  </sheetViews>
  <sheetFormatPr baseColWidth="10" defaultColWidth="9.140625" defaultRowHeight="15" x14ac:dyDescent="0.25"/>
  <cols>
    <col min="1" max="1" width="38" customWidth="1"/>
    <col min="2" max="2" width="22" customWidth="1"/>
    <col min="3" max="3" width="3" customWidth="1"/>
    <col min="4" max="4" width="30" customWidth="1"/>
    <col min="5" max="7" width="18" customWidth="1"/>
  </cols>
  <sheetData>
    <row r="1" spans="1:7" ht="27.95" customHeight="1" x14ac:dyDescent="0.35">
      <c r="A1" s="14" t="s">
        <v>21</v>
      </c>
      <c r="B1" s="14"/>
      <c r="C1" s="14"/>
      <c r="D1" s="14"/>
      <c r="E1" s="14"/>
      <c r="F1" s="14"/>
      <c r="G1" s="14"/>
    </row>
    <row r="2" spans="1:7" x14ac:dyDescent="0.25">
      <c r="A2" s="15" t="s">
        <v>22</v>
      </c>
      <c r="B2" s="15"/>
      <c r="C2" s="15"/>
      <c r="D2" s="15"/>
      <c r="E2" s="15"/>
      <c r="F2" s="15"/>
      <c r="G2" s="15"/>
    </row>
    <row r="3" spans="1:7" x14ac:dyDescent="0.25">
      <c r="A3" s="16" t="s">
        <v>0</v>
      </c>
      <c r="B3" s="16"/>
      <c r="D3" s="16" t="s">
        <v>1</v>
      </c>
      <c r="E3" s="16"/>
      <c r="F3" s="16"/>
      <c r="G3" s="16"/>
    </row>
    <row r="4" spans="1:7" x14ac:dyDescent="0.25">
      <c r="A4" s="1" t="s">
        <v>2</v>
      </c>
      <c r="B4" s="2">
        <v>1500</v>
      </c>
      <c r="D4" s="3" t="s">
        <v>3</v>
      </c>
      <c r="E4" s="4" t="s">
        <v>4</v>
      </c>
      <c r="F4" s="4" t="s">
        <v>5</v>
      </c>
      <c r="G4" s="4" t="s">
        <v>6</v>
      </c>
    </row>
    <row r="5" spans="1:7" x14ac:dyDescent="0.25">
      <c r="A5" s="1" t="s">
        <v>7</v>
      </c>
      <c r="B5" s="5">
        <v>2200</v>
      </c>
      <c r="D5" s="1" t="s">
        <v>8</v>
      </c>
      <c r="E5" s="6">
        <v>1300</v>
      </c>
      <c r="F5" s="6">
        <v>1500</v>
      </c>
      <c r="G5" s="6">
        <v>1700</v>
      </c>
    </row>
    <row r="6" spans="1:7" x14ac:dyDescent="0.25">
      <c r="A6" s="1" t="s">
        <v>9</v>
      </c>
      <c r="B6" s="5">
        <v>1300</v>
      </c>
      <c r="D6" s="1" t="s">
        <v>10</v>
      </c>
      <c r="E6" s="7">
        <v>2100</v>
      </c>
      <c r="F6" s="7">
        <v>2200</v>
      </c>
      <c r="G6" s="7">
        <v>2300</v>
      </c>
    </row>
    <row r="7" spans="1:7" x14ac:dyDescent="0.25">
      <c r="A7" s="1" t="s">
        <v>11</v>
      </c>
      <c r="B7" s="5">
        <v>1100000</v>
      </c>
      <c r="D7" s="1" t="s">
        <v>12</v>
      </c>
      <c r="E7" s="7">
        <v>1400</v>
      </c>
      <c r="F7" s="7">
        <v>1300</v>
      </c>
      <c r="G7" s="7">
        <v>1250</v>
      </c>
    </row>
    <row r="8" spans="1:7" x14ac:dyDescent="0.25">
      <c r="D8" s="15" t="s">
        <v>23</v>
      </c>
      <c r="E8" s="15"/>
      <c r="F8" s="15"/>
      <c r="G8" s="15"/>
    </row>
    <row r="9" spans="1:7" x14ac:dyDescent="0.25">
      <c r="A9" s="16" t="s">
        <v>13</v>
      </c>
      <c r="B9" s="16"/>
    </row>
    <row r="10" spans="1:7" x14ac:dyDescent="0.25">
      <c r="A10" s="1" t="s">
        <v>14</v>
      </c>
      <c r="B10" s="8">
        <f>B4*B5</f>
        <v>3300000</v>
      </c>
    </row>
    <row r="11" spans="1:7" ht="30" customHeight="1" x14ac:dyDescent="0.25">
      <c r="A11" s="1" t="s">
        <v>15</v>
      </c>
      <c r="B11" s="8">
        <f>B4*B6</f>
        <v>1950000</v>
      </c>
    </row>
    <row r="12" spans="1:7" x14ac:dyDescent="0.25">
      <c r="A12" s="1" t="s">
        <v>16</v>
      </c>
      <c r="B12" s="8">
        <f>B7</f>
        <v>1100000</v>
      </c>
    </row>
    <row r="13" spans="1:7" ht="15.75" x14ac:dyDescent="0.25">
      <c r="A13" s="9" t="s">
        <v>17</v>
      </c>
      <c r="B13" s="10">
        <f>B10-B11-B12</f>
        <v>250000</v>
      </c>
    </row>
    <row r="14" spans="1:7" x14ac:dyDescent="0.25">
      <c r="A14" s="1" t="s">
        <v>18</v>
      </c>
      <c r="B14" s="11">
        <f>B13/B10</f>
        <v>7.575757575757576E-2</v>
      </c>
    </row>
    <row r="15" spans="1:7" x14ac:dyDescent="0.25">
      <c r="D15" s="16" t="s">
        <v>20</v>
      </c>
      <c r="E15" s="16"/>
      <c r="F15" s="16"/>
      <c r="G15" s="16"/>
    </row>
    <row r="16" spans="1:7" x14ac:dyDescent="0.25">
      <c r="D16" s="12" t="s">
        <v>19</v>
      </c>
      <c r="F16" s="13"/>
    </row>
  </sheetData>
  <mergeCells count="7">
    <mergeCell ref="A9:B9"/>
    <mergeCell ref="D15:G15"/>
    <mergeCell ref="A1:G1"/>
    <mergeCell ref="A2:G2"/>
    <mergeCell ref="A3:B3"/>
    <mergeCell ref="D3:G3"/>
    <mergeCell ref="D8:G8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6</vt:i4>
      </vt:variant>
    </vt:vector>
  </HeadingPairs>
  <TitlesOfParts>
    <vt:vector size="7" baseType="lpstr">
      <vt:lpstr>Modelo</vt:lpstr>
      <vt:lpstr>Costo_variable</vt:lpstr>
      <vt:lpstr>Gastos_fijos</vt:lpstr>
      <vt:lpstr>Margen</vt:lpstr>
      <vt:lpstr>Resultado</vt:lpstr>
      <vt:lpstr>Servicios_al_mes</vt:lpstr>
      <vt:lpstr>Tarifa_promedio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2026-10-19T02:47:54Z</dcterms:created>
  <dcterms:modified xsi:type="dcterms:W3CDTF">2026-10-26T00:57:09Z</dcterms:modified>
  <cp:category/>
</cp:coreProperties>
</file>